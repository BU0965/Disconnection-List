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0" yWindow="0" windowWidth="20400" windowHeight="7755" firstSheet="1" activeTab="1"/>
  </bookViews>
  <sheets>
    <sheet name="Section Abst" sheetId="2" state="hidden" r:id="rId1"/>
    <sheet name="LIST" sheetId="1" r:id="rId2"/>
  </sheets>
  <definedNames>
    <definedName name="_xlnm._FilterDatabase" localSheetId="1" hidden="1">LIST!$A$1:$M$317</definedName>
  </definedName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/>
  <c r="B4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2"/>
  <c r="J6" i="2"/>
  <c r="K6"/>
  <c r="J7"/>
  <c r="K7"/>
  <c r="J8"/>
  <c r="K8"/>
  <c r="J9"/>
  <c r="K9"/>
  <c r="J10"/>
  <c r="K10"/>
  <c r="J11"/>
  <c r="K11"/>
  <c r="J12"/>
  <c r="K12"/>
  <c r="J13"/>
  <c r="K13"/>
  <c r="J14"/>
  <c r="K14"/>
  <c r="J15"/>
  <c r="K15"/>
  <c r="J16"/>
  <c r="K16"/>
  <c r="J17"/>
  <c r="K17"/>
  <c r="J18"/>
  <c r="K18"/>
  <c r="J19"/>
  <c r="K19"/>
  <c r="J20"/>
  <c r="K20"/>
  <c r="J21"/>
  <c r="K21"/>
  <c r="J22"/>
  <c r="K22"/>
  <c r="J23"/>
  <c r="K23"/>
  <c r="J24"/>
  <c r="K24"/>
  <c r="J25"/>
  <c r="K25"/>
  <c r="J26"/>
  <c r="K26"/>
  <c r="J27"/>
  <c r="K27"/>
  <c r="J28"/>
  <c r="K28"/>
  <c r="J29"/>
  <c r="K29"/>
  <c r="J30"/>
  <c r="K30"/>
  <c r="J31"/>
  <c r="K31"/>
  <c r="K5"/>
  <c r="J5"/>
</calcChain>
</file>

<file path=xl/sharedStrings.xml><?xml version="1.0" encoding="utf-8"?>
<sst xmlns="http://schemas.openxmlformats.org/spreadsheetml/2006/main" count="1651" uniqueCount="534">
  <si>
    <t>PC</t>
  </si>
  <si>
    <t>Consumer No</t>
  </si>
  <si>
    <t>Name</t>
  </si>
  <si>
    <t>Sub Category</t>
  </si>
  <si>
    <t>Last Receipt Date</t>
  </si>
  <si>
    <t>Closing Balance</t>
  </si>
  <si>
    <t>Age in Days</t>
  </si>
  <si>
    <t>TD/PD
Date</t>
  </si>
  <si>
    <t>PACHGANI</t>
  </si>
  <si>
    <t>Panchgani Rural</t>
  </si>
  <si>
    <t>2.Com</t>
  </si>
  <si>
    <t>3.Ind</t>
  </si>
  <si>
    <t>1.Res</t>
  </si>
  <si>
    <t>7.Public S</t>
  </si>
  <si>
    <t>Panchgani U</t>
  </si>
  <si>
    <t>Mahabaleshwar Rural I</t>
  </si>
  <si>
    <t>Mahabaleshwar Rural II</t>
  </si>
  <si>
    <t>Mahabaleshwar U</t>
  </si>
  <si>
    <t>MEDHA</t>
  </si>
  <si>
    <t>Anewadi</t>
  </si>
  <si>
    <t>Medical officer Primary Health Center saygaon</t>
  </si>
  <si>
    <t>Mohan Vaman Dhumal</t>
  </si>
  <si>
    <t>JAYSHREE MANILAL GIRI</t>
  </si>
  <si>
    <t>RAMCHANDRA BHIMAJI GAIKWAD</t>
  </si>
  <si>
    <t>8.Other</t>
  </si>
  <si>
    <t>Shobha Arjun Dutal</t>
  </si>
  <si>
    <t>MUBALAK BUDHAN MUNALI</t>
  </si>
  <si>
    <t>SARASWATI VYANKAT GODSE</t>
  </si>
  <si>
    <t>SHRI CHANDRAKANT MAHADEV JADHAV</t>
  </si>
  <si>
    <t>VILAS SHANKAR SHENDE</t>
  </si>
  <si>
    <t>MUKHYADHYAPAK Z.P. PRI.SCHOOL SAIGAON</t>
  </si>
  <si>
    <t>ARUN DINKAR CHAVAN</t>
  </si>
  <si>
    <t>SUPRITENDANT VIDYARTHI VASATIGRIHA</t>
  </si>
  <si>
    <t>ATUL SUNIL SAWANT</t>
  </si>
  <si>
    <t>DuduskarwadiGP SAJAR0413 189046</t>
  </si>
  <si>
    <t>sarpanch grampanchayat duduskarwadi</t>
  </si>
  <si>
    <t>MA.MUKHYADHIKARI ANGANWADI DUDUSKARWADI</t>
  </si>
  <si>
    <t>JAYASHREE MANILAL GIRI</t>
  </si>
  <si>
    <t>SHRI NAMDEO SONABA SUTAR</t>
  </si>
  <si>
    <t>SAMPAT KHHASHABA MANE</t>
  </si>
  <si>
    <t>JavalwadiGP SAJAR0322 189061</t>
  </si>
  <si>
    <t>SUBHADRA YADUNATH SABLE</t>
  </si>
  <si>
    <t>JAGANATH SAMBAJI SAKHARE</t>
  </si>
  <si>
    <t>Sanjay Ramchandra Ghadge</t>
  </si>
  <si>
    <t>SHRI MUKADHYAPAK ZILLA PARISHAD SHALA</t>
  </si>
  <si>
    <t>SHRI MUKHYADHYPAK Z.P.P.SHALA</t>
  </si>
  <si>
    <t>THE MUKHYADHYAPAK Z P P SHALA</t>
  </si>
  <si>
    <t>EKNATH GANGARAM SHINDE</t>
  </si>
  <si>
    <t>Karhar</t>
  </si>
  <si>
    <t>ANANDRAO KRISHNA GOLE</t>
  </si>
  <si>
    <t>GLOBAL HOSPITALITY</t>
  </si>
  <si>
    <t>DATTU MARUTI GURAV</t>
  </si>
  <si>
    <t>RAJARAM JAGANNATH BHISE</t>
  </si>
  <si>
    <t>SARPANCH GRAMPANCHAYAT KARHAR</t>
  </si>
  <si>
    <t>BAJRANG TANAJI PADALE</t>
  </si>
  <si>
    <t>RAGHUNATH KESHAV JOSHI</t>
  </si>
  <si>
    <t>BABU BALA KAMBLE</t>
  </si>
  <si>
    <t>SHRI DATTATRAYA PANDURANG GAWADE</t>
  </si>
  <si>
    <t>BABAN GENU GAIKWAD</t>
  </si>
  <si>
    <t>ANANDRAO SAKHARAM GOLE</t>
  </si>
  <si>
    <t>DAGADU DAULATI RANJANE</t>
  </si>
  <si>
    <t>Shankar Kondiba Dhanawade</t>
  </si>
  <si>
    <t>SHIVAJI TUKARAM KAMBALE</t>
  </si>
  <si>
    <t>TUKARAM SITARAM BELOSHE</t>
  </si>
  <si>
    <t>USMAN JAFAR MANKAR</t>
  </si>
  <si>
    <t>SAHADEO RAMCHANDRA BELOSHE</t>
  </si>
  <si>
    <t>SHANKAR BABURAV POPHALE</t>
  </si>
  <si>
    <t>Prardhana Constructions Company Hatgeghar Dam</t>
  </si>
  <si>
    <t>MUKHYADHYAPAK Z.P. PRATHAMIK SHALA TALEMAL</t>
  </si>
  <si>
    <t>MEGHA YASHWANT KARANDE</t>
  </si>
  <si>
    <t>Kudal</t>
  </si>
  <si>
    <t>MAHIPATI BAJABA PISAL</t>
  </si>
  <si>
    <t>PRES B S NAVALE SANE GUR KAL KENDRA PPS</t>
  </si>
  <si>
    <t>ISHWAR SAKHARAM SHEVATE</t>
  </si>
  <si>
    <t>KIRAN ARJUN TARADE</t>
  </si>
  <si>
    <t>THE MEDICAL OFFICER RURAL HOSPITAL</t>
  </si>
  <si>
    <t>Sunil Krishna Kambale</t>
  </si>
  <si>
    <t>KONDIBA DHONDIBA TARDE</t>
  </si>
  <si>
    <t>Dinkar Yashwant Tarade</t>
  </si>
  <si>
    <t>MANOJ SURESH TARADE</t>
  </si>
  <si>
    <t>HEADMASTER G SHIKSHAN VIDYAMANDIR</t>
  </si>
  <si>
    <t>Vikrant Uttamrao Tarade</t>
  </si>
  <si>
    <t>SHRI RAOSO RAGHUNATH MANE</t>
  </si>
  <si>
    <t>THE HEAD MASTER Z.P PRIM SCHOOL</t>
  </si>
  <si>
    <t>KAVITA TANAJI TARADE</t>
  </si>
  <si>
    <t>SADHU DADU DHONDE</t>
  </si>
  <si>
    <t>Head Master Z.P School Rendi Mura Dare Bk</t>
  </si>
  <si>
    <t>HEADMASTER NEW ENGLISH SCHOOL HUMGAO</t>
  </si>
  <si>
    <t>POOJA GORAKH CHAVAN</t>
  </si>
  <si>
    <t>SARPANCH GRAMPANCHYAT</t>
  </si>
  <si>
    <t>SHANKAR KASHINATH JOSHI</t>
  </si>
  <si>
    <t>BALAKRISHA ANNASAHEB SHINDE</t>
  </si>
  <si>
    <t>HANMANT MANSHING SHINDE</t>
  </si>
  <si>
    <t>CHAIRMAN PIMPALESHWAR MANDIR TRUST,  KUDAL</t>
  </si>
  <si>
    <t>Atul Rajendra Khadsare</t>
  </si>
  <si>
    <t>SHRI DNYANESHWAR NARAYAN BAWKAR</t>
  </si>
  <si>
    <t>KOUSALYA ATMARAM TODKAR</t>
  </si>
  <si>
    <t>MUKHYADYAPAK JIVAN SHIKSHAN MANDIR</t>
  </si>
  <si>
    <t>KAMALABAI MUGUTRAO PAWAR</t>
  </si>
  <si>
    <t>MOHAN PIMPALDAS GHODKE</t>
  </si>
  <si>
    <t>PHC KUDAL PM ROOM</t>
  </si>
  <si>
    <t>SHRI YASHWANT DINAKR KUMBHAR</t>
  </si>
  <si>
    <t>MEDICAL OFFICER P.H.C.</t>
  </si>
  <si>
    <t>Bamanoli T. KudalGP SAJAR0426 189021</t>
  </si>
  <si>
    <t>THE Z P PRATHAMIK SCHOOL</t>
  </si>
  <si>
    <t>ISMAIL HUSEN DANGE</t>
  </si>
  <si>
    <t>APPASAHEB RAU PAWAR</t>
  </si>
  <si>
    <t>SADASHIV  GENU BORATE</t>
  </si>
  <si>
    <t>Dare  Kd.GP SAJAR0415 189041</t>
  </si>
  <si>
    <t>JAGANNATH MAHADEO NAWALE</t>
  </si>
  <si>
    <t>RAVINDRA KHASHABA TARADE</t>
  </si>
  <si>
    <t>Dattatray Sarjerao Paramane</t>
  </si>
  <si>
    <t>SHRI MUKHYADHYPK Z P SHALA</t>
  </si>
  <si>
    <t>SHRI HEAD MASTER Z.P. PRIMARY</t>
  </si>
  <si>
    <t>HEAD MASTER JIVAN SIKAN MANDIR</t>
  </si>
  <si>
    <t>SHRI ASHOK SAMPAT ROKADE</t>
  </si>
  <si>
    <t>RANJANA PRAKASH GUJAR</t>
  </si>
  <si>
    <t>MUKHYA KARYAKARI ADHIKARI PASHUVAIDHY DAVAKHA</t>
  </si>
  <si>
    <t>RAJENDRA BABAN CHAUDHARI</t>
  </si>
  <si>
    <t>VILAS BYANESHWAR KIRVE</t>
  </si>
  <si>
    <t>Pradip Bajirao Shinde</t>
  </si>
  <si>
    <t>SARITA DNYANESHWAR SHELAR</t>
  </si>
  <si>
    <t>SHANKAR SHIVARAM BHISE</t>
  </si>
  <si>
    <t>MAYUR RAJENDRA SHIRKE</t>
  </si>
  <si>
    <t>Medha</t>
  </si>
  <si>
    <t>INDUS TOWER LIMITED</t>
  </si>
  <si>
    <t>SACHIN TUKARAM PARTE</t>
  </si>
  <si>
    <t>BRANCH MANGER STATE BANK OF INDIA</t>
  </si>
  <si>
    <t>SHRI GANPAT LAXMAN JADHAV</t>
  </si>
  <si>
    <t>Kedarnath Enterprises</t>
  </si>
  <si>
    <t>SANJIVANI PRAKASH KENJALE</t>
  </si>
  <si>
    <t>SHRI VITTHAL ANANDRAO CHIKANE</t>
  </si>
  <si>
    <t>SHRI PRINCHIPAL I T I MEDHA</t>
  </si>
  <si>
    <t>MEICAL OFFICER RURAL HOSPITAL MEDHA</t>
  </si>
  <si>
    <t>SAU SARSWATI BAJIRAO SHELAR</t>
  </si>
  <si>
    <t>SHAMRAO MANAJI SHELAR</t>
  </si>
  <si>
    <t>MUKHADHYAPAK JEEVAN SHIKSHAN MANDIR</t>
  </si>
  <si>
    <t>HEAD MASTER JEEVAN KSHISHAN V MANDIR</t>
  </si>
  <si>
    <t>SHRI HEAD MASTER Z.P SCHOOL</t>
  </si>
  <si>
    <t>SHRI SHRIRANG KONDIBA DHANWADE</t>
  </si>
  <si>
    <t>SHRI HEAD MASTER Z.P.SCHOOL</t>
  </si>
  <si>
    <t>SHRI HEADMASTER JILHA PRISHADA SHALA</t>
  </si>
  <si>
    <t>HEAD MASTER JIVAN SHIKSHAN VIDYA M</t>
  </si>
  <si>
    <t>HEAD MASTER PRIMARY SCHOOL</t>
  </si>
  <si>
    <t>HEAD MASTER JIVAN SHIKSHAN MANDIR</t>
  </si>
  <si>
    <t>SHRI Z.P PRA. SHALA</t>
  </si>
  <si>
    <t>SHRI HEADMASTAR JIVAN VIDYAMANDIR</t>
  </si>
  <si>
    <t>VITTHAL DHONDIBA SHELAR</t>
  </si>
  <si>
    <t>THE HEADMASTER Z P SCHOOL</t>
  </si>
  <si>
    <t>THE H.M.Z.P.PRIMARY SCHOOL</t>
  </si>
  <si>
    <t>SHAILESH JAGANNATH SHELAR</t>
  </si>
  <si>
    <t>SHRI NANDU DHAU AKHADE</t>
  </si>
  <si>
    <t>SHRI ZIMU RAMU DHEBE</t>
  </si>
  <si>
    <t>THE HEAD MASTER Z.P.SCHOOL</t>
  </si>
  <si>
    <t>SHRI HEADMASTER Z P SCHOOL</t>
  </si>
  <si>
    <t>SHRI HEADMASTER Z.P. SCHOOL</t>
  </si>
  <si>
    <t>SHRI HEAD MATER Z.P. PRIMARY SCHOOL</t>
  </si>
  <si>
    <t>SHRI HEAD MASTER Z.P.PRATHAMIK SHALA</t>
  </si>
  <si>
    <t>GAT VIK AS ADAKARI MEDHA</t>
  </si>
  <si>
    <t>SHASHIKANT LAXMAN KADAM</t>
  </si>
  <si>
    <t>SHRI TAHASILDAR OFFICE SETU MAHARASHTRA</t>
  </si>
  <si>
    <t>GATVIKAS ADHIKARI PANCHAYAT SAMITI</t>
  </si>
  <si>
    <t>JAWALI MEDHA MTHQ</t>
  </si>
  <si>
    <t>SHRI MUKHYA KARYAKARI ADHIKARI ZP STR C/O</t>
  </si>
  <si>
    <t>SHRI DATTATRAYA MAHADEV PARTE</t>
  </si>
  <si>
    <t>ASHOK RAGHUNATH NIKAM</t>
  </si>
  <si>
    <t>SNEHA SACHIN PAWAR</t>
  </si>
  <si>
    <t>THE DEPUTY ENGR SARVAJANIK BANDHP</t>
  </si>
  <si>
    <t>SAMEER MAHADEV PAWAR</t>
  </si>
  <si>
    <t>SHRI SADASHIV DHONDIBA KAMBALE</t>
  </si>
  <si>
    <t>SHRI TANAJI JYOTIBA AGLAVE</t>
  </si>
  <si>
    <t>HEADMASTER JEEVAN S MANDIR</t>
  </si>
  <si>
    <t>SHIVAJI BAJIRAO GULAMBE</t>
  </si>
  <si>
    <t>HEAD MASTER JIVAN SHIKSHAN VIDHYAMAN</t>
  </si>
  <si>
    <t>PRAVIN NILKANTH OTARI</t>
  </si>
  <si>
    <t>SHRI ABDDUL MAZID HUSEN MAHABALE</t>
  </si>
  <si>
    <t>SHRI PRATHMIK SHALA Z.P.KESKAR WADI</t>
  </si>
  <si>
    <t>KISAN BABU KENJALE</t>
  </si>
  <si>
    <t>VILAS KESHAV MORE</t>
  </si>
  <si>
    <t>Shamrao Rajaram Ghagare</t>
  </si>
  <si>
    <t>SHRI SAMPAT DAGADU CHAVAN</t>
  </si>
  <si>
    <t>LAXMAN ANANTA DESHMUKH</t>
  </si>
  <si>
    <t>CHANDRAKANT YASHWANT JAVAL</t>
  </si>
  <si>
    <t>sarpanch grampanchayat jawalwadi</t>
  </si>
  <si>
    <t>MUKHYADHYAPAK Z.P.P.SHALA GOPALWASTI JAWALWA</t>
  </si>
  <si>
    <t>DEVADAS SAKHARAM PAWAR</t>
  </si>
  <si>
    <t>CHOKU RAMU ROKADE</t>
  </si>
  <si>
    <t>SAMPAT DHONDIBA SHINDE</t>
  </si>
  <si>
    <t>SMT VIJAYANTA BABAN KARANJEKAR</t>
  </si>
  <si>
    <t>GANPAT RAMCHANDRA JADHAV</t>
  </si>
  <si>
    <t>SUNIL DINKAR WAGH</t>
  </si>
  <si>
    <t>TALUKA NIRIKSHAK BHUMI ABHILEKH</t>
  </si>
  <si>
    <t>TANAJI SAMPAT KADAM</t>
  </si>
  <si>
    <t>THE HEAD MASTER JIVAN SHIKSHAN VIDYA</t>
  </si>
  <si>
    <t>KISAN DNYANESHWAR WAGDE</t>
  </si>
  <si>
    <t>MUKHYADHYAPAK Z.P.PRATHAMIK SHALA PIMPARI</t>
  </si>
  <si>
    <t>THE MEDICAL OFFICER PRIMARY HEALTH CETRE</t>
  </si>
  <si>
    <t>SHRI HEAD MASTER PRIMARY SCHOOL</t>
  </si>
  <si>
    <t>Z.P.PRIMARY SCHOOL KUSUMBI JAMBHULWADI</t>
  </si>
  <si>
    <t>MEKHYADHYAPAK Z.P.SHALA DHAKATI KALOSHI</t>
  </si>
  <si>
    <t>MUKHYADYAPAK Z.P .SCHOOL GELDARE</t>
  </si>
  <si>
    <t>MUKHYADHYAPAK Z.P. SHALA SHINDEVASTI</t>
  </si>
  <si>
    <t>MUKHYADHYAPAK  JILHA  PARISHAD PRATHAMIK</t>
  </si>
  <si>
    <t>SHRI HEADMASTER JIVAN SHISHYAN MANDIR</t>
  </si>
  <si>
    <t>THE HEADMASTER Z.P.SCHOOL</t>
  </si>
  <si>
    <t>MUKHYADHYAPAK Z P P SHALA AMBEDKAR NAGAR MEDH</t>
  </si>
  <si>
    <t>APPA SURESH JADHAV</t>
  </si>
  <si>
    <t>SONABAI SAKHARAM SHINDE</t>
  </si>
  <si>
    <t>SHRI Z.P SCHOOL BHALDARWADI</t>
  </si>
  <si>
    <t>HEDMASTER Z.P.SCHOOL KUMBHARGANI</t>
  </si>
  <si>
    <t>SHRI HEADMASTER ZILLA PARISHADA SHALA</t>
  </si>
  <si>
    <t>SHRI HEAD MASTER Z.P. SCHOOL</t>
  </si>
  <si>
    <t>Z.P. SCHOOL SANGAVIMURA</t>
  </si>
  <si>
    <t>SANTOSH BHIKU AKHADE</t>
  </si>
  <si>
    <t>VITTHAL MARUTI PATANE</t>
  </si>
  <si>
    <t>MUKHYADHYPAK Z.P.PRATHMIC SHALA</t>
  </si>
  <si>
    <t>SHRI ATMARAM LAXMAN SHINDE</t>
  </si>
  <si>
    <t>SHRI PRABHAKAR SHANKAR JADHAV</t>
  </si>
  <si>
    <t>SHRI HEAD MADTER Z.P.PRAMARY SHALA</t>
  </si>
  <si>
    <t>SHRI ANAND KRISHNA SAKPAL</t>
  </si>
  <si>
    <t>MUKHYADHYAPAK ZED P SHALA</t>
  </si>
  <si>
    <t>Mukhyadhyapak ZilhaParishad School</t>
  </si>
  <si>
    <t>ZILHAPARISHAD SHALA LAMAJ</t>
  </si>
  <si>
    <t>PANDURANG HARIBA BHOSALE</t>
  </si>
  <si>
    <t>MUKHYADHAYPAK ZILHAPARISHAD SHALA</t>
  </si>
  <si>
    <t>SHRI SITARAM GURULING JANJAM</t>
  </si>
  <si>
    <t>SHRI BABAN BABU TAMBE</t>
  </si>
  <si>
    <t>SAMBHAJI N SHINDE</t>
  </si>
  <si>
    <t>SHRI HEAD MASTER Z.P.P.SHALA</t>
  </si>
  <si>
    <t>PRAKSH MARUTI BHOSALE</t>
  </si>
  <si>
    <t>Tapola</t>
  </si>
  <si>
    <t>RAMESH KRISHNA SAPKAL</t>
  </si>
  <si>
    <t>SHRI TANAJI ATMARAM SHINDE</t>
  </si>
  <si>
    <t>DAGADU RAMCHANDRA AGUNDE</t>
  </si>
  <si>
    <t>TUKARAM KRISNA  SAKPAL</t>
  </si>
  <si>
    <t>SHRI HEADMASRER Z.P. CSHOOL</t>
  </si>
  <si>
    <t>BALU BABURAO SHINDE</t>
  </si>
  <si>
    <t>SHRI JANU VITTHAL DHEBE</t>
  </si>
  <si>
    <t>ZILHA PARISHAD PRATHAMIK SHALA MANTI MURA</t>
  </si>
  <si>
    <t>MUKYADHYAPAK Z.P SHALA</t>
  </si>
  <si>
    <t>MUKHYADHAPAK  Z. P. SHALA DHEBEWASTI</t>
  </si>
  <si>
    <t>VIJAY HARIBA KADAM</t>
  </si>
  <si>
    <t>SHRI MUKHYADHYPAK Z.P.P SCHOOL</t>
  </si>
  <si>
    <t>SANGITA YADU TAMBE</t>
  </si>
  <si>
    <t>MUKHADYAPAK Z.P SHALA SHIVAJIWADI</t>
  </si>
  <si>
    <t>MUKHYADHAPAK Z.P.  PRATHMIK SHALA AAPTI</t>
  </si>
  <si>
    <t>SHRI LAXMAN KUSHBA KADAM</t>
  </si>
  <si>
    <t>SHRI SHRIRANG CHIMAJI KADAM</t>
  </si>
  <si>
    <t>SOMAJI KRUSHANA SUTAR</t>
  </si>
  <si>
    <t>THE HEAD MASTER APATI HIGH SCHOOL</t>
  </si>
  <si>
    <t>VITTHAL KONDIBA KADAM</t>
  </si>
  <si>
    <t>HEADMASTER Z.P.SCHOOL</t>
  </si>
  <si>
    <t>SHRI SOMAJI KRISHNA SUTAR</t>
  </si>
  <si>
    <t>SHRI HEAD MASTER JIWAN SHIKSHAN MANDIR</t>
  </si>
  <si>
    <t>SHRI KONDIBA KRUSHNA VALUGADE</t>
  </si>
  <si>
    <t>TUKARAM RAMCHANDRA Bhosale</t>
  </si>
  <si>
    <t>Vijay Laxman Bhosale</t>
  </si>
  <si>
    <t>MUKHYADHAPAK Z.P SHALA SHIVACHIWADI</t>
  </si>
  <si>
    <t>MUKHYADHAPAK Z.P SHALA KELGHARSOLASHI</t>
  </si>
  <si>
    <t>SARPANCH GRAMPANCHAYAT TETALI</t>
  </si>
  <si>
    <t>VITTHAL DHONDIBA BHOSALE</t>
  </si>
  <si>
    <t>SHRI TUKARAM SHANKAR BHOSALE</t>
  </si>
  <si>
    <t>KISAN DEVJI BHOSALE</t>
  </si>
  <si>
    <t>DHANAJI RAMCHANDRA BHOSALE</t>
  </si>
  <si>
    <t>SHANKAR KONDIBA BHOSALE</t>
  </si>
  <si>
    <t>SHRI MUKHYADHYAPAK ZILLA PARISHAD SCHOOL</t>
  </si>
  <si>
    <t>SHRI MUKGHYADHYAPAK Z P PRIMARY SCHOOL</t>
  </si>
  <si>
    <t>SAU SHOBHA DHANAJI SANKPAL</t>
  </si>
  <si>
    <t>MUKHYADHYAPAK Z.P SHALA PAWASEWADI</t>
  </si>
  <si>
    <t>SHRI GOVIND  VITTHAL JADHAV</t>
  </si>
  <si>
    <t>MUKHYADHYAPAK Z P SHALA SHEMBADI</t>
  </si>
  <si>
    <t>SHRI HEAD MASTER Z.P.PRIMARY SCHOOL</t>
  </si>
  <si>
    <t>KASHINATH DEVAJI SHELAR</t>
  </si>
  <si>
    <t>THE MUKHYADHYAPAK Z P SHALA</t>
  </si>
  <si>
    <t>SARPANCH GRAMPANCHAYAT KOLGHAR</t>
  </si>
  <si>
    <t>SHRI MUKHYADHYPAK Z.P.P SHALA</t>
  </si>
  <si>
    <t>SHANKAR UMAJI BHOSALE</t>
  </si>
  <si>
    <t>MUKYADHYAPAK Z. P .SHALA AMBAVADE</t>
  </si>
  <si>
    <t>VIDYADHAR PURUSHOTTAM NAGARKAR</t>
  </si>
  <si>
    <t>RAMCHANDRA BHAGU KADAM</t>
  </si>
  <si>
    <t>NAMDEO GANPAT BHOSALE</t>
  </si>
  <si>
    <t>SACHIV PADMAVATI DEVSTHAN TRUST TAPOLA TARF MA</t>
  </si>
  <si>
    <t>SHRI NAMDEO KRISHNA BHOSALE</t>
  </si>
  <si>
    <t>MANDAL AADHIKARI TAPOLA</t>
  </si>
  <si>
    <t>SHRI TUKARAM BHAIRU DHANAWADE</t>
  </si>
  <si>
    <t>THE HEAD MASTER Z.P.PRIMARY SCHOOL</t>
  </si>
  <si>
    <t>SHRI MUKHYADHAYAPAK Z.P.P SHALA</t>
  </si>
  <si>
    <t>Santosh Eakhanath More</t>
  </si>
  <si>
    <t>SHRI MUKHUADHAPAK Z.P.SHALA VENGALE</t>
  </si>
  <si>
    <t>SHRI BABURAO KISAN KADAM</t>
  </si>
  <si>
    <t>VITHOBA KRISHNA MORE</t>
  </si>
  <si>
    <t>EKNATH DAGADU KADAM</t>
  </si>
  <si>
    <t>MUKHYADHYAPAK ZILHAPARISHAD SHALA</t>
  </si>
  <si>
    <t>SARPANCH GRAMPANCHAYAT SONAT</t>
  </si>
  <si>
    <t>SHRI MUKHYADHYAPAK Z.P.P SHALA</t>
  </si>
  <si>
    <t>MAHADEO PARU JADHAV</t>
  </si>
  <si>
    <t>RAMCHANDRA RAKHMAJI JANGAM</t>
  </si>
  <si>
    <t>Nirmala Yashwant Karale</t>
  </si>
  <si>
    <t>ANAND RAMJI NALAWADE</t>
  </si>
  <si>
    <t>HEAD MASTER Z P PRIMARY SCHOOL</t>
  </si>
  <si>
    <t>ANAND TUKARAM SANKPAL</t>
  </si>
  <si>
    <t>SHRI VIJAY SAKHARAM MORE</t>
  </si>
  <si>
    <t>LAXMAN RAMJI MORE</t>
  </si>
  <si>
    <t>SHRI HEADMATAR JEEVANSHIKSHAN MANDIR</t>
  </si>
  <si>
    <t>SHRI HEAD MASTER Z.P.SHALA</t>
  </si>
  <si>
    <t>HEAD MASTER ZILLA PARASHID SCHOOL</t>
  </si>
  <si>
    <t>Mukhyadyapak Z P Shala Lamaj Mura</t>
  </si>
  <si>
    <t>KRUSHNA HARIBHAU MORE</t>
  </si>
  <si>
    <t>SUPDT HAPPY HOME</t>
  </si>
  <si>
    <t>THE MEDICAL OFFICER PRI HEALTH SUB CENTR</t>
  </si>
  <si>
    <t>SHRI MUKHYADHYAPAK Z.P. PRRTHMIK SHALA</t>
  </si>
  <si>
    <t>SHRI MUKHADHYAPAK Z.P.PARTHMIK SHALA</t>
  </si>
  <si>
    <t>RAJU ARJUN KARANDE</t>
  </si>
  <si>
    <t>SHRI MUKHADHYAPAK Z.P PARTHMIK SHALA</t>
  </si>
  <si>
    <t>SHRI SAVPNIL KAMLAKAR SURVE</t>
  </si>
  <si>
    <t>SHRI HEAD MASTER Z.P. SHALA</t>
  </si>
  <si>
    <t>SHRI NAMDEV VITTHAL KADAM</t>
  </si>
  <si>
    <t>Anand Narayan Sakpal</t>
  </si>
  <si>
    <t>RAMCHANDRA BHAMBU KALE</t>
  </si>
  <si>
    <t>MUKHYADHYAPAK JILHAPARISHAD SHALA</t>
  </si>
  <si>
    <t>Mukhyadyapak Z P Shala Akalpe Mura</t>
  </si>
  <si>
    <t>SHRI RAMCHANDRA KONDIBA KADAM</t>
  </si>
  <si>
    <t>SHRI YASHWANT SADU KADAM</t>
  </si>
  <si>
    <t>SHANKAR TUKARAM JANGAM</t>
  </si>
  <si>
    <t>WAI</t>
  </si>
  <si>
    <t>Bawdhan</t>
  </si>
  <si>
    <t>Bhuinj</t>
  </si>
  <si>
    <t>Jamb</t>
  </si>
  <si>
    <t>Kavathe</t>
  </si>
  <si>
    <t>Kenjal</t>
  </si>
  <si>
    <t>Pachwad</t>
  </si>
  <si>
    <t>Vyahali</t>
  </si>
  <si>
    <t>Wai Rural I</t>
  </si>
  <si>
    <t>Wai Rural II</t>
  </si>
  <si>
    <t>Wai U - I I</t>
  </si>
  <si>
    <t>Wai U - I</t>
  </si>
  <si>
    <t>WAI_DN_LIST OF RCI+O ARREARS ABOVE RS. 5000 AS ON DT. 18.11.2025</t>
  </si>
  <si>
    <t>PACHWAD S/DN</t>
  </si>
  <si>
    <t>Total
Due Amount Including Current Bill</t>
  </si>
  <si>
    <t>Grand Total</t>
  </si>
  <si>
    <t>Total Sum of Closing Balance</t>
  </si>
  <si>
    <t>Section</t>
  </si>
  <si>
    <t>MEDHA S/DN</t>
  </si>
  <si>
    <t>M'SHWAR</t>
  </si>
  <si>
    <t>M'SHWAR S/DN</t>
  </si>
  <si>
    <t>PACHGANI S/DN</t>
  </si>
  <si>
    <t>WAI S/DN</t>
  </si>
  <si>
    <t>Count.</t>
  </si>
  <si>
    <t>Arrs.</t>
  </si>
  <si>
    <t>Sub-DN.</t>
  </si>
  <si>
    <t>RCI</t>
  </si>
  <si>
    <t>VC</t>
  </si>
  <si>
    <t>Village</t>
  </si>
  <si>
    <t>Staff</t>
  </si>
  <si>
    <t>Compliance</t>
  </si>
  <si>
    <t>ANEWADI</t>
  </si>
  <si>
    <t>Saigaon</t>
  </si>
  <si>
    <t>Mahigaon</t>
  </si>
  <si>
    <t>Raigaon</t>
  </si>
  <si>
    <t>Mardhe</t>
  </si>
  <si>
    <t>Kharshi-ku</t>
  </si>
  <si>
    <t>Pawarwadi</t>
  </si>
  <si>
    <t>Duduskarwadi</t>
  </si>
  <si>
    <t>Dare-kh,Morewadi</t>
  </si>
  <si>
    <t>Jawlewadi</t>
  </si>
  <si>
    <t>Narfdeo</t>
  </si>
  <si>
    <t>Maha-wadi</t>
  </si>
  <si>
    <t>Arde</t>
  </si>
  <si>
    <t>Maradmura</t>
  </si>
  <si>
    <t>Belawade</t>
  </si>
  <si>
    <t>Walooth</t>
  </si>
  <si>
    <t>Ruighar</t>
  </si>
  <si>
    <t>Ambeghar-ku</t>
  </si>
  <si>
    <t>Kharshi-bara</t>
  </si>
  <si>
    <t>Pimpali</t>
  </si>
  <si>
    <t>Mahu</t>
  </si>
  <si>
    <t>Ranjani</t>
  </si>
  <si>
    <t>Saighar</t>
  </si>
  <si>
    <t>Panas-k</t>
  </si>
  <si>
    <t>Ambheghar</t>
  </si>
  <si>
    <t>Gadhawli</t>
  </si>
  <si>
    <t>Akhade</t>
  </si>
  <si>
    <t>Sartale</t>
  </si>
  <si>
    <t>Somarde</t>
  </si>
  <si>
    <t>Alewadi</t>
  </si>
  <si>
    <t>Bamnoli-k</t>
  </si>
  <si>
    <t>Dare-bk</t>
  </si>
  <si>
    <t>Rendimura</t>
  </si>
  <si>
    <t>Humgaon</t>
  </si>
  <si>
    <t>Karandi t ku</t>
  </si>
  <si>
    <t>Karandoshi</t>
  </si>
  <si>
    <t>Sarjapur</t>
  </si>
  <si>
    <t>Mhasave</t>
  </si>
  <si>
    <t>Gopal-wadi</t>
  </si>
  <si>
    <t>Shete</t>
  </si>
  <si>
    <t>Songaon</t>
  </si>
  <si>
    <t>Marli</t>
  </si>
  <si>
    <t>Mamurdi</t>
  </si>
  <si>
    <t>Bhanang</t>
  </si>
  <si>
    <t>Keskarwadi</t>
  </si>
  <si>
    <t>chikanwadi</t>
  </si>
  <si>
    <t>Renoshi</t>
  </si>
  <si>
    <t>Waghdare</t>
  </si>
  <si>
    <t>Karanje</t>
  </si>
  <si>
    <t>Chorambe</t>
  </si>
  <si>
    <t>Chinchani</t>
  </si>
  <si>
    <t>Galdev</t>
  </si>
  <si>
    <t>Gondemal</t>
  </si>
  <si>
    <t>Mahate-bk</t>
  </si>
  <si>
    <t>Mahate-kh</t>
  </si>
  <si>
    <t>Gawadi</t>
  </si>
  <si>
    <t>Bhamghar</t>
  </si>
  <si>
    <t>Okhodi</t>
  </si>
  <si>
    <t>Bhogoli-me</t>
  </si>
  <si>
    <t>Asani</t>
  </si>
  <si>
    <t>Kelghar</t>
  </si>
  <si>
    <t>Kurolshi-me</t>
  </si>
  <si>
    <t>Dangareghar</t>
  </si>
  <si>
    <t>Bondarwadi</t>
  </si>
  <si>
    <t>Bhuteghar</t>
  </si>
  <si>
    <t>Aglawewadi</t>
  </si>
  <si>
    <t>Bibhavi</t>
  </si>
  <si>
    <t>Ritkawali</t>
  </si>
  <si>
    <t>Ozare</t>
  </si>
  <si>
    <t>Ganje</t>
  </si>
  <si>
    <t>Pimpari</t>
  </si>
  <si>
    <t>Kusumbi</t>
  </si>
  <si>
    <t>Kaloshi-big</t>
  </si>
  <si>
    <t>Sangavi-mura</t>
  </si>
  <si>
    <t>Moleshwar</t>
  </si>
  <si>
    <t>Ekiv</t>
  </si>
  <si>
    <t>Gharatghar</t>
  </si>
  <si>
    <t>Sangavi-Medha</t>
  </si>
  <si>
    <t>Bhaldarwadi</t>
  </si>
  <si>
    <t>Kumbhargani</t>
  </si>
  <si>
    <t>Dawali</t>
  </si>
  <si>
    <t>Bhogoli-mura</t>
  </si>
  <si>
    <t>Patnemaci</t>
  </si>
  <si>
    <t>Lakhwad</t>
  </si>
  <si>
    <t>Kuroshi</t>
  </si>
  <si>
    <t>Achali</t>
  </si>
  <si>
    <t>Gawadoshi</t>
  </si>
  <si>
    <t>Kandat</t>
  </si>
  <si>
    <t>Lamaj</t>
  </si>
  <si>
    <t>Mahalunge</t>
  </si>
  <si>
    <t>Walwan</t>
  </si>
  <si>
    <t>shindi</t>
  </si>
  <si>
    <t>Dare-tamb</t>
  </si>
  <si>
    <t>Walne</t>
  </si>
  <si>
    <t>Vangale</t>
  </si>
  <si>
    <t>Waki</t>
  </si>
  <si>
    <t>Khambil-Cho</t>
  </si>
  <si>
    <t>Apati-phurus</t>
  </si>
  <si>
    <t>Manti</t>
  </si>
  <si>
    <t>Kawadi</t>
  </si>
  <si>
    <t>Nipani</t>
  </si>
  <si>
    <t>Tetali</t>
  </si>
  <si>
    <t>Sawri</t>
  </si>
  <si>
    <t>Waghawle</t>
  </si>
  <si>
    <t>Mhawshi</t>
  </si>
  <si>
    <t>Bamnoli-Kas</t>
  </si>
  <si>
    <t>Shemdi</t>
  </si>
  <si>
    <t>Phalani</t>
  </si>
  <si>
    <t>Andhari</t>
  </si>
  <si>
    <t>Korghal</t>
  </si>
  <si>
    <t>Munawale</t>
  </si>
  <si>
    <t>Umbrewadi-chorge</t>
  </si>
  <si>
    <t>Wanwli-sol</t>
  </si>
  <si>
    <t>Gogave</t>
  </si>
  <si>
    <t>Varsoli-deo</t>
  </si>
  <si>
    <t>Rameghar</t>
  </si>
  <si>
    <t>Varsoli-k</t>
  </si>
  <si>
    <t>Kahmbil-pok</t>
  </si>
  <si>
    <t>Sonat</t>
  </si>
  <si>
    <t>Saundari</t>
  </si>
  <si>
    <t>vanwali-u</t>
  </si>
  <si>
    <t>Awalan</t>
  </si>
  <si>
    <t>Velapur</t>
  </si>
  <si>
    <t>Harchandi</t>
  </si>
  <si>
    <t>Aamashi</t>
  </si>
  <si>
    <t>Katroshi</t>
  </si>
  <si>
    <t>Rule</t>
  </si>
  <si>
    <t>Dodani</t>
  </si>
  <si>
    <t>Shirnar</t>
  </si>
  <si>
    <t>Dhabe-Dhabekar</t>
  </si>
  <si>
    <t>Dhabe-mohan</t>
  </si>
  <si>
    <t>Uchat</t>
  </si>
  <si>
    <t>Ahir</t>
  </si>
  <si>
    <t>Akalpe</t>
  </si>
  <si>
    <t>chakdeo</t>
  </si>
  <si>
    <t>KOMAL PAWAR</t>
  </si>
  <si>
    <t>SHAILESH FARANDE</t>
  </si>
  <si>
    <t>RUSHIKESH SHIVANKAR</t>
  </si>
  <si>
    <t>VAIBHAV BHOITE</t>
  </si>
  <si>
    <t>SAGAR INDORE</t>
  </si>
  <si>
    <t>ANIKET NANAWARE</t>
  </si>
  <si>
    <t>SANGRAM SHIVANKAR</t>
  </si>
  <si>
    <t>AMOL KAMBALE</t>
  </si>
  <si>
    <t>KISAN PADALE</t>
  </si>
  <si>
    <t xml:space="preserve">AKSHAY MAYANDE </t>
  </si>
  <si>
    <t>BALASAHEB PAWAR</t>
  </si>
  <si>
    <t>NATHU PISAL</t>
  </si>
  <si>
    <t>SHANKAR JADHAV</t>
  </si>
  <si>
    <t>VIJAY MADNE</t>
  </si>
  <si>
    <t>SHUBHAM TARADE</t>
  </si>
  <si>
    <t>NILESH SAPKAL</t>
  </si>
  <si>
    <t>Mahesh Kadam</t>
  </si>
  <si>
    <t>VIKRANT KIRVE</t>
  </si>
  <si>
    <t>SHRIDHAR KARANJE</t>
  </si>
  <si>
    <t>VIJAY KAMBLE/NILESH JAMDADE</t>
  </si>
  <si>
    <t>ARUN PISAL</t>
  </si>
  <si>
    <t>SANJAY SHINDE</t>
  </si>
  <si>
    <t>VILAS GUNJALE</t>
  </si>
  <si>
    <t>PARVARISH PANDAVE</t>
  </si>
  <si>
    <t>MAHADEV SHELAR</t>
  </si>
  <si>
    <t>MORE</t>
  </si>
  <si>
    <t>HONRAV</t>
  </si>
  <si>
    <t>PATANE</t>
  </si>
  <si>
    <t>Ganesh More</t>
  </si>
  <si>
    <t>TANAJI KADAM</t>
  </si>
  <si>
    <t>KSHITIJ TARADE</t>
  </si>
  <si>
    <t>AMOL KHAROSHE</t>
  </si>
  <si>
    <t>ANANDA SHELAR</t>
  </si>
  <si>
    <t>SURAJ JADHAV</t>
  </si>
  <si>
    <t>SHUBHAM SAPKAL</t>
  </si>
  <si>
    <t>VISHVNATH DIGE</t>
  </si>
  <si>
    <t>Rupesh Mane</t>
  </si>
  <si>
    <t>Sourabh More</t>
  </si>
  <si>
    <t>Kiran Mane</t>
  </si>
  <si>
    <t>Tushar Sawant</t>
  </si>
  <si>
    <t>Rohit Furde</t>
  </si>
  <si>
    <t>Sachin Jadhav</t>
  </si>
  <si>
    <t>Tushar Shinde</t>
  </si>
  <si>
    <t>Maruti Jadhav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</si>
</sst>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8"/>
      <color theme="1"/>
      <name val="Times New Roman"/>
      <family val="1"/>
    </font>
    <font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" fontId="0" fillId="0" borderId="1" xfId="0" applyNumberFormat="1" applyBorder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NumberFormat="1" applyFont="1" applyBorder="1" applyAlignment="1">
      <alignment vertical="center"/>
    </xf>
    <xf numFmtId="2" fontId="4" fillId="0" borderId="1" xfId="0" applyNumberFormat="1" applyFont="1" applyBorder="1" applyAlignment="1">
      <alignment vertical="center"/>
    </xf>
    <xf numFmtId="0" fontId="3" fillId="0" borderId="1" xfId="0" applyNumberFormat="1" applyFont="1" applyBorder="1" applyAlignment="1">
      <alignment vertical="center"/>
    </xf>
    <xf numFmtId="2" fontId="3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2" fontId="3" fillId="3" borderId="1" xfId="0" applyNumberFormat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2" fontId="3" fillId="4" borderId="1" xfId="0" applyNumberFormat="1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0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Q31"/>
  <sheetViews>
    <sheetView topLeftCell="C16" workbookViewId="0">
      <selection activeCell="B2" sqref="B2:Q2"/>
    </sheetView>
  </sheetViews>
  <sheetFormatPr defaultRowHeight="15"/>
  <cols>
    <col min="1" max="1" width="4.7109375" customWidth="1"/>
    <col min="2" max="2" width="18.28515625" style="1" bestFit="1" customWidth="1"/>
    <col min="3" max="3" width="22" style="1" bestFit="1" customWidth="1"/>
    <col min="4" max="17" width="10.7109375" customWidth="1"/>
    <col min="18" max="18" width="4.28515625" customWidth="1"/>
  </cols>
  <sheetData>
    <row r="2" spans="2:17" ht="22.5">
      <c r="B2" s="24" t="s">
        <v>336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2:17" ht="15.75">
      <c r="B3" s="21" t="s">
        <v>349</v>
      </c>
      <c r="C3" s="21" t="s">
        <v>341</v>
      </c>
      <c r="D3" s="21" t="s">
        <v>12</v>
      </c>
      <c r="E3" s="21"/>
      <c r="F3" s="21" t="s">
        <v>10</v>
      </c>
      <c r="G3" s="21"/>
      <c r="H3" s="21" t="s">
        <v>11</v>
      </c>
      <c r="I3" s="21"/>
      <c r="J3" s="21" t="s">
        <v>350</v>
      </c>
      <c r="K3" s="21"/>
      <c r="L3" s="21" t="s">
        <v>13</v>
      </c>
      <c r="M3" s="21"/>
      <c r="N3" s="21" t="s">
        <v>24</v>
      </c>
      <c r="O3" s="21"/>
      <c r="P3" s="21" t="s">
        <v>339</v>
      </c>
      <c r="Q3" s="21" t="s">
        <v>340</v>
      </c>
    </row>
    <row r="4" spans="2:17" ht="15.75">
      <c r="B4" s="21"/>
      <c r="C4" s="21"/>
      <c r="D4" s="5" t="s">
        <v>347</v>
      </c>
      <c r="E4" s="5" t="s">
        <v>348</v>
      </c>
      <c r="F4" s="5" t="s">
        <v>347</v>
      </c>
      <c r="G4" s="5" t="s">
        <v>348</v>
      </c>
      <c r="H4" s="5" t="s">
        <v>347</v>
      </c>
      <c r="I4" s="5" t="s">
        <v>348</v>
      </c>
      <c r="J4" s="5" t="s">
        <v>347</v>
      </c>
      <c r="K4" s="5" t="s">
        <v>348</v>
      </c>
      <c r="L4" s="5" t="s">
        <v>347</v>
      </c>
      <c r="M4" s="5" t="s">
        <v>348</v>
      </c>
      <c r="N4" s="5" t="s">
        <v>347</v>
      </c>
      <c r="O4" s="5" t="s">
        <v>348</v>
      </c>
      <c r="P4" s="5" t="s">
        <v>347</v>
      </c>
      <c r="Q4" s="5" t="s">
        <v>348</v>
      </c>
    </row>
    <row r="5" spans="2:17" s="11" customFormat="1" ht="20.25" customHeight="1">
      <c r="B5" s="22" t="s">
        <v>343</v>
      </c>
      <c r="C5" s="6" t="s">
        <v>15</v>
      </c>
      <c r="D5" s="7">
        <v>20</v>
      </c>
      <c r="E5" s="8">
        <v>3.1999999999999997</v>
      </c>
      <c r="F5" s="7">
        <v>16</v>
      </c>
      <c r="G5" s="8">
        <v>2.5800000000000005</v>
      </c>
      <c r="H5" s="7"/>
      <c r="I5" s="8"/>
      <c r="J5" s="9">
        <f>+D5+F5+H5</f>
        <v>36</v>
      </c>
      <c r="K5" s="10">
        <f>+E5+G5+I5</f>
        <v>5.78</v>
      </c>
      <c r="L5" s="7"/>
      <c r="M5" s="8"/>
      <c r="N5" s="7"/>
      <c r="O5" s="8"/>
      <c r="P5" s="9">
        <v>36</v>
      </c>
      <c r="Q5" s="10">
        <v>5.78</v>
      </c>
    </row>
    <row r="6" spans="2:17" s="11" customFormat="1" ht="20.25" customHeight="1">
      <c r="B6" s="22"/>
      <c r="C6" s="6" t="s">
        <v>16</v>
      </c>
      <c r="D6" s="7">
        <v>1</v>
      </c>
      <c r="E6" s="8">
        <v>0.12</v>
      </c>
      <c r="F6" s="7">
        <v>5</v>
      </c>
      <c r="G6" s="8">
        <v>0.48000000000000004</v>
      </c>
      <c r="H6" s="7"/>
      <c r="I6" s="8"/>
      <c r="J6" s="9">
        <f t="shared" ref="J6:J31" si="0">+D6+F6+H6</f>
        <v>6</v>
      </c>
      <c r="K6" s="10">
        <f t="shared" ref="K6:K31" si="1">+E6+G6+I6</f>
        <v>0.60000000000000009</v>
      </c>
      <c r="L6" s="7">
        <v>2</v>
      </c>
      <c r="M6" s="8">
        <v>0.27</v>
      </c>
      <c r="N6" s="7"/>
      <c r="O6" s="8"/>
      <c r="P6" s="9">
        <v>8</v>
      </c>
      <c r="Q6" s="10">
        <v>0.87</v>
      </c>
    </row>
    <row r="7" spans="2:17" s="11" customFormat="1" ht="20.25" customHeight="1">
      <c r="B7" s="22"/>
      <c r="C7" s="6" t="s">
        <v>17</v>
      </c>
      <c r="D7" s="7">
        <v>91</v>
      </c>
      <c r="E7" s="8">
        <v>12.569999999999999</v>
      </c>
      <c r="F7" s="7">
        <v>63</v>
      </c>
      <c r="G7" s="8">
        <v>13.100000000000003</v>
      </c>
      <c r="H7" s="7">
        <v>2</v>
      </c>
      <c r="I7" s="8">
        <v>0.35000000000000003</v>
      </c>
      <c r="J7" s="9">
        <f t="shared" si="0"/>
        <v>156</v>
      </c>
      <c r="K7" s="10">
        <f t="shared" si="1"/>
        <v>26.020000000000003</v>
      </c>
      <c r="L7" s="7">
        <v>20</v>
      </c>
      <c r="M7" s="8">
        <v>4.54</v>
      </c>
      <c r="N7" s="7"/>
      <c r="O7" s="8"/>
      <c r="P7" s="9">
        <v>176</v>
      </c>
      <c r="Q7" s="10">
        <v>30.560000000000002</v>
      </c>
    </row>
    <row r="8" spans="2:17" s="14" customFormat="1" ht="20.25" customHeight="1">
      <c r="B8" s="23" t="s">
        <v>344</v>
      </c>
      <c r="C8" s="23"/>
      <c r="D8" s="12">
        <v>112</v>
      </c>
      <c r="E8" s="13">
        <v>15.890000000000002</v>
      </c>
      <c r="F8" s="12">
        <v>84</v>
      </c>
      <c r="G8" s="13">
        <v>16.160000000000004</v>
      </c>
      <c r="H8" s="12">
        <v>2</v>
      </c>
      <c r="I8" s="13">
        <v>0.35000000000000003</v>
      </c>
      <c r="J8" s="12">
        <f t="shared" si="0"/>
        <v>198</v>
      </c>
      <c r="K8" s="13">
        <f t="shared" si="1"/>
        <v>32.400000000000006</v>
      </c>
      <c r="L8" s="12">
        <v>22</v>
      </c>
      <c r="M8" s="13">
        <v>4.8100000000000005</v>
      </c>
      <c r="N8" s="12"/>
      <c r="O8" s="13"/>
      <c r="P8" s="12">
        <v>220</v>
      </c>
      <c r="Q8" s="13">
        <v>37.21</v>
      </c>
    </row>
    <row r="9" spans="2:17" s="11" customFormat="1" ht="20.25" customHeight="1">
      <c r="B9" s="22" t="s">
        <v>18</v>
      </c>
      <c r="C9" s="6" t="s">
        <v>19</v>
      </c>
      <c r="D9" s="7">
        <v>11</v>
      </c>
      <c r="E9" s="8">
        <v>0.84000000000000008</v>
      </c>
      <c r="F9" s="7"/>
      <c r="G9" s="8"/>
      <c r="H9" s="7">
        <v>2</v>
      </c>
      <c r="I9" s="8">
        <v>0.22</v>
      </c>
      <c r="J9" s="9">
        <f t="shared" si="0"/>
        <v>13</v>
      </c>
      <c r="K9" s="10">
        <f t="shared" si="1"/>
        <v>1.06</v>
      </c>
      <c r="L9" s="7">
        <v>10</v>
      </c>
      <c r="M9" s="8">
        <v>1.2</v>
      </c>
      <c r="N9" s="7">
        <v>4</v>
      </c>
      <c r="O9" s="8">
        <v>0.39</v>
      </c>
      <c r="P9" s="9">
        <v>27</v>
      </c>
      <c r="Q9" s="10">
        <v>2.6500000000000008</v>
      </c>
    </row>
    <row r="10" spans="2:17" s="11" customFormat="1" ht="20.25" customHeight="1">
      <c r="B10" s="22"/>
      <c r="C10" s="6" t="s">
        <v>48</v>
      </c>
      <c r="D10" s="7">
        <v>13</v>
      </c>
      <c r="E10" s="8">
        <v>1.23</v>
      </c>
      <c r="F10" s="7">
        <v>5</v>
      </c>
      <c r="G10" s="8">
        <v>1.2300000000000002</v>
      </c>
      <c r="H10" s="7">
        <v>1</v>
      </c>
      <c r="I10" s="8">
        <v>0.06</v>
      </c>
      <c r="J10" s="9">
        <f t="shared" si="0"/>
        <v>19</v>
      </c>
      <c r="K10" s="10">
        <f t="shared" si="1"/>
        <v>2.52</v>
      </c>
      <c r="L10" s="7">
        <v>1</v>
      </c>
      <c r="M10" s="8">
        <v>0.09</v>
      </c>
      <c r="N10" s="7">
        <v>1</v>
      </c>
      <c r="O10" s="8">
        <v>0.06</v>
      </c>
      <c r="P10" s="9">
        <v>21</v>
      </c>
      <c r="Q10" s="10">
        <v>2.6699999999999995</v>
      </c>
    </row>
    <row r="11" spans="2:17" s="11" customFormat="1" ht="20.25" customHeight="1">
      <c r="B11" s="22"/>
      <c r="C11" s="6" t="s">
        <v>70</v>
      </c>
      <c r="D11" s="7">
        <v>21</v>
      </c>
      <c r="E11" s="8">
        <v>1.9900000000000004</v>
      </c>
      <c r="F11" s="7">
        <v>8</v>
      </c>
      <c r="G11" s="8">
        <v>0.57999999999999996</v>
      </c>
      <c r="H11" s="7">
        <v>3</v>
      </c>
      <c r="I11" s="8">
        <v>0.26</v>
      </c>
      <c r="J11" s="9">
        <f t="shared" si="0"/>
        <v>32</v>
      </c>
      <c r="K11" s="10">
        <f t="shared" si="1"/>
        <v>2.83</v>
      </c>
      <c r="L11" s="7">
        <v>16</v>
      </c>
      <c r="M11" s="8">
        <v>1.9900000000000004</v>
      </c>
      <c r="N11" s="7">
        <v>6</v>
      </c>
      <c r="O11" s="8">
        <v>0.66</v>
      </c>
      <c r="P11" s="9">
        <v>54</v>
      </c>
      <c r="Q11" s="10">
        <v>5.4799999999999995</v>
      </c>
    </row>
    <row r="12" spans="2:17" s="11" customFormat="1" ht="20.25" customHeight="1">
      <c r="B12" s="22"/>
      <c r="C12" s="6" t="s">
        <v>124</v>
      </c>
      <c r="D12" s="7">
        <v>31</v>
      </c>
      <c r="E12" s="8">
        <v>3.1300000000000008</v>
      </c>
      <c r="F12" s="7">
        <v>12</v>
      </c>
      <c r="G12" s="8">
        <v>1.49</v>
      </c>
      <c r="H12" s="7">
        <v>7</v>
      </c>
      <c r="I12" s="8">
        <v>2.14</v>
      </c>
      <c r="J12" s="9">
        <f t="shared" si="0"/>
        <v>50</v>
      </c>
      <c r="K12" s="10">
        <f t="shared" si="1"/>
        <v>6.7600000000000016</v>
      </c>
      <c r="L12" s="7">
        <v>60</v>
      </c>
      <c r="M12" s="8">
        <v>9.3999999999999932</v>
      </c>
      <c r="N12" s="7"/>
      <c r="O12" s="8"/>
      <c r="P12" s="9">
        <v>110</v>
      </c>
      <c r="Q12" s="10">
        <v>16.16</v>
      </c>
    </row>
    <row r="13" spans="2:17" s="11" customFormat="1" ht="20.25" customHeight="1">
      <c r="B13" s="22"/>
      <c r="C13" s="6" t="s">
        <v>230</v>
      </c>
      <c r="D13" s="7">
        <v>34</v>
      </c>
      <c r="E13" s="8">
        <v>3.4199999999999995</v>
      </c>
      <c r="F13" s="7">
        <v>15</v>
      </c>
      <c r="G13" s="8">
        <v>1.3600000000000003</v>
      </c>
      <c r="H13" s="7">
        <v>4</v>
      </c>
      <c r="I13" s="8">
        <v>0.43000000000000005</v>
      </c>
      <c r="J13" s="9">
        <f t="shared" si="0"/>
        <v>53</v>
      </c>
      <c r="K13" s="10">
        <f t="shared" si="1"/>
        <v>5.2099999999999991</v>
      </c>
      <c r="L13" s="7">
        <v>51</v>
      </c>
      <c r="M13" s="8">
        <v>5.64</v>
      </c>
      <c r="N13" s="7"/>
      <c r="O13" s="8"/>
      <c r="P13" s="9">
        <v>104</v>
      </c>
      <c r="Q13" s="10">
        <v>10.849999999999993</v>
      </c>
    </row>
    <row r="14" spans="2:17" s="14" customFormat="1" ht="20.25" customHeight="1">
      <c r="B14" s="23" t="s">
        <v>342</v>
      </c>
      <c r="C14" s="23"/>
      <c r="D14" s="12">
        <v>110</v>
      </c>
      <c r="E14" s="13">
        <v>10.610000000000005</v>
      </c>
      <c r="F14" s="12">
        <v>40</v>
      </c>
      <c r="G14" s="13">
        <v>4.66</v>
      </c>
      <c r="H14" s="12">
        <v>17</v>
      </c>
      <c r="I14" s="13">
        <v>3.1100000000000003</v>
      </c>
      <c r="J14" s="12">
        <f t="shared" si="0"/>
        <v>167</v>
      </c>
      <c r="K14" s="13">
        <f t="shared" si="1"/>
        <v>18.380000000000006</v>
      </c>
      <c r="L14" s="12">
        <v>138</v>
      </c>
      <c r="M14" s="13">
        <v>18.319999999999997</v>
      </c>
      <c r="N14" s="12">
        <v>11</v>
      </c>
      <c r="O14" s="13">
        <v>1.1100000000000001</v>
      </c>
      <c r="P14" s="12">
        <v>316</v>
      </c>
      <c r="Q14" s="13">
        <v>37.809999999999995</v>
      </c>
    </row>
    <row r="15" spans="2:17" s="11" customFormat="1" ht="20.25" customHeight="1">
      <c r="B15" s="22" t="s">
        <v>8</v>
      </c>
      <c r="C15" s="6" t="s">
        <v>9</v>
      </c>
      <c r="D15" s="7">
        <v>36</v>
      </c>
      <c r="E15" s="8">
        <v>4.45</v>
      </c>
      <c r="F15" s="7">
        <v>50</v>
      </c>
      <c r="G15" s="8">
        <v>6.7099999999999964</v>
      </c>
      <c r="H15" s="7">
        <v>1</v>
      </c>
      <c r="I15" s="8">
        <v>0.16</v>
      </c>
      <c r="J15" s="9">
        <f t="shared" si="0"/>
        <v>87</v>
      </c>
      <c r="K15" s="10">
        <f t="shared" si="1"/>
        <v>11.319999999999997</v>
      </c>
      <c r="L15" s="7">
        <v>1</v>
      </c>
      <c r="M15" s="8">
        <v>7.0000000000000007E-2</v>
      </c>
      <c r="N15" s="7"/>
      <c r="O15" s="8"/>
      <c r="P15" s="9">
        <v>88</v>
      </c>
      <c r="Q15" s="10">
        <v>11.390000000000004</v>
      </c>
    </row>
    <row r="16" spans="2:17" s="11" customFormat="1" ht="20.25" customHeight="1">
      <c r="B16" s="22"/>
      <c r="C16" s="6" t="s">
        <v>14</v>
      </c>
      <c r="D16" s="7">
        <v>50</v>
      </c>
      <c r="E16" s="8">
        <v>4.7099999999999991</v>
      </c>
      <c r="F16" s="7">
        <v>39</v>
      </c>
      <c r="G16" s="8">
        <v>4.43</v>
      </c>
      <c r="H16" s="7"/>
      <c r="I16" s="8"/>
      <c r="J16" s="9">
        <f t="shared" si="0"/>
        <v>89</v>
      </c>
      <c r="K16" s="10">
        <f t="shared" si="1"/>
        <v>9.1399999999999988</v>
      </c>
      <c r="L16" s="7">
        <v>5</v>
      </c>
      <c r="M16" s="8">
        <v>2.4699999999999998</v>
      </c>
      <c r="N16" s="7"/>
      <c r="O16" s="8"/>
      <c r="P16" s="9">
        <v>94</v>
      </c>
      <c r="Q16" s="10">
        <v>11.610000000000003</v>
      </c>
    </row>
    <row r="17" spans="2:17" s="14" customFormat="1" ht="20.25" customHeight="1">
      <c r="B17" s="23" t="s">
        <v>345</v>
      </c>
      <c r="C17" s="23"/>
      <c r="D17" s="12">
        <v>86</v>
      </c>
      <c r="E17" s="13">
        <v>9.1600000000000019</v>
      </c>
      <c r="F17" s="12">
        <v>89</v>
      </c>
      <c r="G17" s="13">
        <v>11.139999999999999</v>
      </c>
      <c r="H17" s="12">
        <v>1</v>
      </c>
      <c r="I17" s="13">
        <v>0.16</v>
      </c>
      <c r="J17" s="12">
        <f t="shared" si="0"/>
        <v>176</v>
      </c>
      <c r="K17" s="13">
        <f t="shared" si="1"/>
        <v>20.46</v>
      </c>
      <c r="L17" s="12">
        <v>6</v>
      </c>
      <c r="M17" s="13">
        <v>2.54</v>
      </c>
      <c r="N17" s="12"/>
      <c r="O17" s="13"/>
      <c r="P17" s="12">
        <v>182</v>
      </c>
      <c r="Q17" s="13">
        <v>23.000000000000007</v>
      </c>
    </row>
    <row r="18" spans="2:17" s="11" customFormat="1" ht="20.25" customHeight="1">
      <c r="B18" s="22" t="s">
        <v>337</v>
      </c>
      <c r="C18" s="6" t="s">
        <v>326</v>
      </c>
      <c r="D18" s="7">
        <v>44</v>
      </c>
      <c r="E18" s="8">
        <v>3.9599999999999991</v>
      </c>
      <c r="F18" s="7">
        <v>27</v>
      </c>
      <c r="G18" s="8">
        <v>3.6000000000000005</v>
      </c>
      <c r="H18" s="7">
        <v>1</v>
      </c>
      <c r="I18" s="8">
        <v>0.17</v>
      </c>
      <c r="J18" s="9">
        <f t="shared" si="0"/>
        <v>72</v>
      </c>
      <c r="K18" s="10">
        <f t="shared" si="1"/>
        <v>7.7299999999999995</v>
      </c>
      <c r="L18" s="7">
        <v>9</v>
      </c>
      <c r="M18" s="8">
        <v>0.73</v>
      </c>
      <c r="N18" s="7">
        <v>1</v>
      </c>
      <c r="O18" s="8">
        <v>0.17</v>
      </c>
      <c r="P18" s="9">
        <v>82</v>
      </c>
      <c r="Q18" s="10">
        <v>8.6299999999999972</v>
      </c>
    </row>
    <row r="19" spans="2:17" s="11" customFormat="1" ht="20.25" customHeight="1">
      <c r="B19" s="22"/>
      <c r="C19" s="6" t="s">
        <v>327</v>
      </c>
      <c r="D19" s="7">
        <v>11</v>
      </c>
      <c r="E19" s="8">
        <v>1.36</v>
      </c>
      <c r="F19" s="7"/>
      <c r="G19" s="8"/>
      <c r="H19" s="7"/>
      <c r="I19" s="8"/>
      <c r="J19" s="9">
        <f t="shared" si="0"/>
        <v>11</v>
      </c>
      <c r="K19" s="10">
        <f t="shared" si="1"/>
        <v>1.36</v>
      </c>
      <c r="L19" s="7">
        <v>4</v>
      </c>
      <c r="M19" s="8">
        <v>0.43</v>
      </c>
      <c r="N19" s="7"/>
      <c r="O19" s="8"/>
      <c r="P19" s="9">
        <v>15</v>
      </c>
      <c r="Q19" s="10">
        <v>1.79</v>
      </c>
    </row>
    <row r="20" spans="2:17" s="11" customFormat="1" ht="20.25" customHeight="1">
      <c r="B20" s="22"/>
      <c r="C20" s="6" t="s">
        <v>328</v>
      </c>
      <c r="D20" s="7"/>
      <c r="E20" s="8"/>
      <c r="F20" s="7">
        <v>2</v>
      </c>
      <c r="G20" s="8">
        <v>0.22</v>
      </c>
      <c r="H20" s="7"/>
      <c r="I20" s="8"/>
      <c r="J20" s="9">
        <f t="shared" si="0"/>
        <v>2</v>
      </c>
      <c r="K20" s="10">
        <f t="shared" si="1"/>
        <v>0.22</v>
      </c>
      <c r="L20" s="7"/>
      <c r="M20" s="8"/>
      <c r="N20" s="7"/>
      <c r="O20" s="8"/>
      <c r="P20" s="9">
        <v>2</v>
      </c>
      <c r="Q20" s="10">
        <v>0.22</v>
      </c>
    </row>
    <row r="21" spans="2:17" s="11" customFormat="1" ht="20.25" customHeight="1">
      <c r="B21" s="22"/>
      <c r="C21" s="6" t="s">
        <v>329</v>
      </c>
      <c r="D21" s="7">
        <v>1</v>
      </c>
      <c r="E21" s="8">
        <v>0.08</v>
      </c>
      <c r="F21" s="7"/>
      <c r="G21" s="8"/>
      <c r="H21" s="7"/>
      <c r="I21" s="8"/>
      <c r="J21" s="9">
        <f t="shared" si="0"/>
        <v>1</v>
      </c>
      <c r="K21" s="10">
        <f t="shared" si="1"/>
        <v>0.08</v>
      </c>
      <c r="L21" s="7">
        <v>2</v>
      </c>
      <c r="M21" s="8">
        <v>0.28000000000000003</v>
      </c>
      <c r="N21" s="7"/>
      <c r="O21" s="8"/>
      <c r="P21" s="9">
        <v>3</v>
      </c>
      <c r="Q21" s="10">
        <v>0.36000000000000004</v>
      </c>
    </row>
    <row r="22" spans="2:17" s="11" customFormat="1" ht="20.25" customHeight="1">
      <c r="B22" s="22"/>
      <c r="C22" s="6" t="s">
        <v>330</v>
      </c>
      <c r="D22" s="7">
        <v>7</v>
      </c>
      <c r="E22" s="8">
        <v>0.6100000000000001</v>
      </c>
      <c r="F22" s="7">
        <v>10</v>
      </c>
      <c r="G22" s="8">
        <v>1.0699999999999998</v>
      </c>
      <c r="H22" s="7"/>
      <c r="I22" s="8"/>
      <c r="J22" s="9">
        <f t="shared" si="0"/>
        <v>17</v>
      </c>
      <c r="K22" s="10">
        <f t="shared" si="1"/>
        <v>1.68</v>
      </c>
      <c r="L22" s="7">
        <v>4</v>
      </c>
      <c r="M22" s="8">
        <v>0.32</v>
      </c>
      <c r="N22" s="7">
        <v>4</v>
      </c>
      <c r="O22" s="8">
        <v>0.3</v>
      </c>
      <c r="P22" s="9">
        <v>25</v>
      </c>
      <c r="Q22" s="10">
        <v>2.3000000000000003</v>
      </c>
    </row>
    <row r="23" spans="2:17" s="14" customFormat="1" ht="20.25" customHeight="1">
      <c r="B23" s="23" t="s">
        <v>337</v>
      </c>
      <c r="C23" s="23"/>
      <c r="D23" s="12">
        <v>63</v>
      </c>
      <c r="E23" s="13">
        <v>6.0099999999999989</v>
      </c>
      <c r="F23" s="12">
        <v>39</v>
      </c>
      <c r="G23" s="13">
        <v>4.8899999999999997</v>
      </c>
      <c r="H23" s="12">
        <v>1</v>
      </c>
      <c r="I23" s="13">
        <v>0.17</v>
      </c>
      <c r="J23" s="12">
        <f t="shared" si="0"/>
        <v>103</v>
      </c>
      <c r="K23" s="13">
        <f t="shared" si="1"/>
        <v>11.069999999999999</v>
      </c>
      <c r="L23" s="12">
        <v>19</v>
      </c>
      <c r="M23" s="13">
        <v>1.7600000000000002</v>
      </c>
      <c r="N23" s="12">
        <v>5</v>
      </c>
      <c r="O23" s="13">
        <v>0.47000000000000003</v>
      </c>
      <c r="P23" s="12">
        <v>127</v>
      </c>
      <c r="Q23" s="13">
        <v>13.299999999999999</v>
      </c>
    </row>
    <row r="24" spans="2:17" s="11" customFormat="1" ht="20.25" customHeight="1">
      <c r="B24" s="22" t="s">
        <v>324</v>
      </c>
      <c r="C24" s="6" t="s">
        <v>325</v>
      </c>
      <c r="D24" s="7">
        <v>32</v>
      </c>
      <c r="E24" s="8">
        <v>4.58</v>
      </c>
      <c r="F24" s="7">
        <v>1</v>
      </c>
      <c r="G24" s="8">
        <v>0.09</v>
      </c>
      <c r="H24" s="7">
        <v>1</v>
      </c>
      <c r="I24" s="8">
        <v>0.2</v>
      </c>
      <c r="J24" s="9">
        <f t="shared" si="0"/>
        <v>34</v>
      </c>
      <c r="K24" s="10">
        <f t="shared" si="1"/>
        <v>4.87</v>
      </c>
      <c r="L24" s="7">
        <v>5</v>
      </c>
      <c r="M24" s="8">
        <v>0.5</v>
      </c>
      <c r="N24" s="7">
        <v>4</v>
      </c>
      <c r="O24" s="8">
        <v>0.41</v>
      </c>
      <c r="P24" s="9">
        <v>43</v>
      </c>
      <c r="Q24" s="10">
        <v>5.78</v>
      </c>
    </row>
    <row r="25" spans="2:17" s="11" customFormat="1" ht="20.25" customHeight="1">
      <c r="B25" s="22"/>
      <c r="C25" s="6" t="s">
        <v>331</v>
      </c>
      <c r="D25" s="7">
        <v>16</v>
      </c>
      <c r="E25" s="8">
        <v>1.5300000000000007</v>
      </c>
      <c r="F25" s="7">
        <v>3</v>
      </c>
      <c r="G25" s="8">
        <v>0.39</v>
      </c>
      <c r="H25" s="7">
        <v>1</v>
      </c>
      <c r="I25" s="8">
        <v>7.0000000000000007E-2</v>
      </c>
      <c r="J25" s="9">
        <f t="shared" si="0"/>
        <v>20</v>
      </c>
      <c r="K25" s="10">
        <f t="shared" si="1"/>
        <v>1.9900000000000009</v>
      </c>
      <c r="L25" s="7">
        <v>6</v>
      </c>
      <c r="M25" s="8">
        <v>0.91</v>
      </c>
      <c r="N25" s="7">
        <v>3</v>
      </c>
      <c r="O25" s="8">
        <v>0.24</v>
      </c>
      <c r="P25" s="9">
        <v>29</v>
      </c>
      <c r="Q25" s="10">
        <v>3.1400000000000015</v>
      </c>
    </row>
    <row r="26" spans="2:17" s="11" customFormat="1" ht="20.25" customHeight="1">
      <c r="B26" s="22"/>
      <c r="C26" s="6" t="s">
        <v>332</v>
      </c>
      <c r="D26" s="7">
        <v>1</v>
      </c>
      <c r="E26" s="8">
        <v>0.25</v>
      </c>
      <c r="F26" s="7">
        <v>4</v>
      </c>
      <c r="G26" s="8">
        <v>0.27</v>
      </c>
      <c r="H26" s="7">
        <v>1</v>
      </c>
      <c r="I26" s="8">
        <v>0.4</v>
      </c>
      <c r="J26" s="9">
        <f t="shared" si="0"/>
        <v>6</v>
      </c>
      <c r="K26" s="10">
        <f t="shared" si="1"/>
        <v>0.92</v>
      </c>
      <c r="L26" s="7">
        <v>1</v>
      </c>
      <c r="M26" s="8">
        <v>0.16</v>
      </c>
      <c r="N26" s="7">
        <v>1</v>
      </c>
      <c r="O26" s="8">
        <v>0.08</v>
      </c>
      <c r="P26" s="9">
        <v>8</v>
      </c>
      <c r="Q26" s="10">
        <v>1.1600000000000001</v>
      </c>
    </row>
    <row r="27" spans="2:17" s="11" customFormat="1" ht="20.25" customHeight="1">
      <c r="B27" s="22"/>
      <c r="C27" s="6" t="s">
        <v>333</v>
      </c>
      <c r="D27" s="7">
        <v>10</v>
      </c>
      <c r="E27" s="8">
        <v>0.81000000000000016</v>
      </c>
      <c r="F27" s="7">
        <v>2</v>
      </c>
      <c r="G27" s="8">
        <v>0.14000000000000001</v>
      </c>
      <c r="H27" s="7">
        <v>1</v>
      </c>
      <c r="I27" s="8">
        <v>0.19</v>
      </c>
      <c r="J27" s="9">
        <f t="shared" si="0"/>
        <v>13</v>
      </c>
      <c r="K27" s="10">
        <f t="shared" si="1"/>
        <v>1.1400000000000001</v>
      </c>
      <c r="L27" s="7">
        <v>15</v>
      </c>
      <c r="M27" s="8">
        <v>1.5700000000000005</v>
      </c>
      <c r="N27" s="7"/>
      <c r="O27" s="8"/>
      <c r="P27" s="9">
        <v>28</v>
      </c>
      <c r="Q27" s="10">
        <v>2.7100000000000004</v>
      </c>
    </row>
    <row r="28" spans="2:17" s="11" customFormat="1" ht="20.25" customHeight="1">
      <c r="B28" s="22"/>
      <c r="C28" s="6" t="s">
        <v>335</v>
      </c>
      <c r="D28" s="7">
        <v>47</v>
      </c>
      <c r="E28" s="8">
        <v>3.7299999999999991</v>
      </c>
      <c r="F28" s="7">
        <v>48</v>
      </c>
      <c r="G28" s="8">
        <v>6.6599999999999993</v>
      </c>
      <c r="H28" s="7">
        <v>17</v>
      </c>
      <c r="I28" s="8">
        <v>12.23</v>
      </c>
      <c r="J28" s="9">
        <f t="shared" si="0"/>
        <v>112</v>
      </c>
      <c r="K28" s="10">
        <f t="shared" si="1"/>
        <v>22.619999999999997</v>
      </c>
      <c r="L28" s="7">
        <v>6</v>
      </c>
      <c r="M28" s="8">
        <v>6.5500000000000007</v>
      </c>
      <c r="N28" s="7"/>
      <c r="O28" s="8"/>
      <c r="P28" s="9">
        <v>118</v>
      </c>
      <c r="Q28" s="10">
        <v>29.169999999999998</v>
      </c>
    </row>
    <row r="29" spans="2:17" s="11" customFormat="1" ht="20.25" customHeight="1">
      <c r="B29" s="22"/>
      <c r="C29" s="6" t="s">
        <v>334</v>
      </c>
      <c r="D29" s="7">
        <v>169</v>
      </c>
      <c r="E29" s="8">
        <v>17.840000000000003</v>
      </c>
      <c r="F29" s="7">
        <v>71</v>
      </c>
      <c r="G29" s="8">
        <v>11.279999999999996</v>
      </c>
      <c r="H29" s="7">
        <v>3</v>
      </c>
      <c r="I29" s="8">
        <v>0.76</v>
      </c>
      <c r="J29" s="9">
        <f t="shared" si="0"/>
        <v>243</v>
      </c>
      <c r="K29" s="10">
        <f t="shared" si="1"/>
        <v>29.88</v>
      </c>
      <c r="L29" s="7">
        <v>15</v>
      </c>
      <c r="M29" s="8">
        <v>7.53</v>
      </c>
      <c r="N29" s="7">
        <v>1</v>
      </c>
      <c r="O29" s="8">
        <v>7.0000000000000007E-2</v>
      </c>
      <c r="P29" s="9">
        <v>259</v>
      </c>
      <c r="Q29" s="10">
        <v>37.479999999999983</v>
      </c>
    </row>
    <row r="30" spans="2:17" s="14" customFormat="1" ht="20.25" customHeight="1">
      <c r="B30" s="23" t="s">
        <v>346</v>
      </c>
      <c r="C30" s="23"/>
      <c r="D30" s="12">
        <v>275</v>
      </c>
      <c r="E30" s="13">
        <v>28.740000000000002</v>
      </c>
      <c r="F30" s="12">
        <v>129</v>
      </c>
      <c r="G30" s="13">
        <v>18.829999999999995</v>
      </c>
      <c r="H30" s="12">
        <v>24</v>
      </c>
      <c r="I30" s="13">
        <v>13.85</v>
      </c>
      <c r="J30" s="12">
        <f t="shared" si="0"/>
        <v>428</v>
      </c>
      <c r="K30" s="13">
        <f t="shared" si="1"/>
        <v>61.419999999999995</v>
      </c>
      <c r="L30" s="12">
        <v>48</v>
      </c>
      <c r="M30" s="13">
        <v>17.219999999999995</v>
      </c>
      <c r="N30" s="12">
        <v>9</v>
      </c>
      <c r="O30" s="13">
        <v>0.8</v>
      </c>
      <c r="P30" s="12">
        <v>485</v>
      </c>
      <c r="Q30" s="13">
        <v>79.439999999999984</v>
      </c>
    </row>
    <row r="31" spans="2:17" s="14" customFormat="1" ht="20.25" customHeight="1">
      <c r="B31" s="25" t="s">
        <v>339</v>
      </c>
      <c r="C31" s="25"/>
      <c r="D31" s="15">
        <v>646</v>
      </c>
      <c r="E31" s="16">
        <v>70.409999999999826</v>
      </c>
      <c r="F31" s="15">
        <v>381</v>
      </c>
      <c r="G31" s="16">
        <v>55.680000000000042</v>
      </c>
      <c r="H31" s="15">
        <v>45</v>
      </c>
      <c r="I31" s="16">
        <v>17.640000000000004</v>
      </c>
      <c r="J31" s="15">
        <f t="shared" si="0"/>
        <v>1072</v>
      </c>
      <c r="K31" s="16">
        <f t="shared" si="1"/>
        <v>143.72999999999988</v>
      </c>
      <c r="L31" s="15">
        <v>233</v>
      </c>
      <c r="M31" s="16">
        <v>44.649999999999991</v>
      </c>
      <c r="N31" s="15">
        <v>25</v>
      </c>
      <c r="O31" s="16">
        <v>2.3800000000000003</v>
      </c>
      <c r="P31" s="15">
        <v>1330</v>
      </c>
      <c r="Q31" s="16">
        <v>190.75999999999996</v>
      </c>
    </row>
  </sheetData>
  <mergeCells count="21">
    <mergeCell ref="P3:Q3"/>
    <mergeCell ref="H3:I3"/>
    <mergeCell ref="B2:Q2"/>
    <mergeCell ref="B31:C31"/>
    <mergeCell ref="D3:E3"/>
    <mergeCell ref="F3:G3"/>
    <mergeCell ref="J3:K3"/>
    <mergeCell ref="L3:M3"/>
    <mergeCell ref="N3:O3"/>
    <mergeCell ref="B15:B16"/>
    <mergeCell ref="B17:C17"/>
    <mergeCell ref="B18:B22"/>
    <mergeCell ref="B23:C23"/>
    <mergeCell ref="B24:B29"/>
    <mergeCell ref="B30:C30"/>
    <mergeCell ref="C3:C4"/>
    <mergeCell ref="B3:B4"/>
    <mergeCell ref="B5:B7"/>
    <mergeCell ref="B8:C8"/>
    <mergeCell ref="B9:B13"/>
    <mergeCell ref="B14:C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17"/>
  <sheetViews>
    <sheetView tabSelected="1" workbookViewId="0">
      <selection activeCell="G5" sqref="G5"/>
    </sheetView>
  </sheetViews>
  <sheetFormatPr defaultRowHeight="15"/>
  <cols>
    <col min="1" max="1" width="3.28515625" bestFit="1" customWidth="1"/>
    <col min="2" max="3" width="9.7109375" customWidth="1"/>
    <col min="4" max="4" width="18.28515625" bestFit="1" customWidth="1"/>
    <col min="5" max="5" width="30.140625" bestFit="1" customWidth="1"/>
    <col min="6" max="6" width="15.7109375" bestFit="1" customWidth="1"/>
    <col min="7" max="7" width="39" customWidth="1"/>
    <col min="8" max="8" width="9.7109375" customWidth="1"/>
    <col min="9" max="9" width="13.5703125" customWidth="1"/>
    <col min="10" max="10" width="10.7109375" customWidth="1"/>
    <col min="11" max="11" width="11.7109375" customWidth="1"/>
    <col min="12" max="12" width="11.140625" bestFit="1" customWidth="1"/>
    <col min="13" max="13" width="10.7109375" bestFit="1" customWidth="1"/>
    <col min="14" max="14" width="11.42578125" bestFit="1" customWidth="1"/>
  </cols>
  <sheetData>
    <row r="1" spans="1:14" s="19" customFormat="1" ht="75">
      <c r="A1" s="17" t="s">
        <v>0</v>
      </c>
      <c r="B1" s="17" t="s">
        <v>351</v>
      </c>
      <c r="C1" s="17" t="s">
        <v>341</v>
      </c>
      <c r="D1" s="17" t="s">
        <v>352</v>
      </c>
      <c r="E1" s="17" t="s">
        <v>353</v>
      </c>
      <c r="F1" s="17" t="s">
        <v>1</v>
      </c>
      <c r="G1" s="17" t="s">
        <v>2</v>
      </c>
      <c r="H1" s="18" t="s">
        <v>3</v>
      </c>
      <c r="I1" s="18" t="s">
        <v>4</v>
      </c>
      <c r="J1" s="18" t="s">
        <v>5</v>
      </c>
      <c r="K1" s="18" t="s">
        <v>338</v>
      </c>
      <c r="L1" s="18" t="s">
        <v>6</v>
      </c>
      <c r="M1" s="18" t="s">
        <v>7</v>
      </c>
      <c r="N1" s="20" t="s">
        <v>354</v>
      </c>
    </row>
    <row r="2" spans="1:14">
      <c r="A2" s="2">
        <v>0</v>
      </c>
      <c r="B2" s="2">
        <f>VALUE(LEFT(F2,5))</f>
        <v>19506</v>
      </c>
      <c r="C2" s="2" t="s">
        <v>355</v>
      </c>
      <c r="D2" s="2" t="s">
        <v>356</v>
      </c>
      <c r="E2" s="2" t="s">
        <v>490</v>
      </c>
      <c r="F2" s="4">
        <v>195060002229</v>
      </c>
      <c r="G2" s="2" t="s">
        <v>20</v>
      </c>
      <c r="H2" s="2" t="s">
        <v>13</v>
      </c>
      <c r="I2" s="3">
        <v>45476</v>
      </c>
      <c r="J2" s="2">
        <v>5065.24</v>
      </c>
      <c r="K2" s="2">
        <v>5520.15</v>
      </c>
      <c r="L2" s="2">
        <v>503</v>
      </c>
      <c r="M2" s="2"/>
      <c r="N2" s="2"/>
    </row>
    <row r="3" spans="1:14">
      <c r="A3" s="2">
        <v>0</v>
      </c>
      <c r="B3" s="2">
        <f t="shared" ref="B3:B66" si="0">VALUE(LEFT(F3,5))</f>
        <v>19502</v>
      </c>
      <c r="C3" s="2" t="s">
        <v>355</v>
      </c>
      <c r="D3" s="2" t="s">
        <v>19</v>
      </c>
      <c r="E3" s="2" t="s">
        <v>491</v>
      </c>
      <c r="F3" s="4">
        <v>195020003508</v>
      </c>
      <c r="G3" s="2" t="s">
        <v>21</v>
      </c>
      <c r="H3" s="2" t="s">
        <v>11</v>
      </c>
      <c r="I3" s="3">
        <v>45912</v>
      </c>
      <c r="J3" s="2">
        <v>11345.43</v>
      </c>
      <c r="K3" s="2">
        <v>22155.98</v>
      </c>
      <c r="L3" s="2">
        <v>67</v>
      </c>
      <c r="M3" s="2"/>
      <c r="N3" s="2"/>
    </row>
    <row r="4" spans="1:14">
      <c r="A4" s="2">
        <v>0</v>
      </c>
      <c r="B4" s="2">
        <f t="shared" si="0"/>
        <v>19508</v>
      </c>
      <c r="C4" s="2" t="s">
        <v>355</v>
      </c>
      <c r="D4" s="2" t="s">
        <v>357</v>
      </c>
      <c r="E4" s="2" t="s">
        <v>492</v>
      </c>
      <c r="F4" s="4">
        <v>195080001750</v>
      </c>
      <c r="G4" s="2" t="s">
        <v>22</v>
      </c>
      <c r="H4" s="2" t="s">
        <v>11</v>
      </c>
      <c r="I4" s="3">
        <v>45899</v>
      </c>
      <c r="J4" s="2">
        <v>11188.03</v>
      </c>
      <c r="K4" s="2">
        <v>38942.15</v>
      </c>
      <c r="L4" s="2">
        <v>80</v>
      </c>
      <c r="M4" s="2"/>
      <c r="N4" s="2"/>
    </row>
    <row r="5" spans="1:14">
      <c r="A5" s="2">
        <v>1</v>
      </c>
      <c r="B5" s="2">
        <f t="shared" si="0"/>
        <v>19503</v>
      </c>
      <c r="C5" s="2" t="s">
        <v>355</v>
      </c>
      <c r="D5" s="2" t="s">
        <v>358</v>
      </c>
      <c r="E5" s="2" t="s">
        <v>493</v>
      </c>
      <c r="F5" s="4">
        <v>195030002364</v>
      </c>
      <c r="G5" s="2" t="s">
        <v>23</v>
      </c>
      <c r="H5" s="2" t="s">
        <v>24</v>
      </c>
      <c r="I5" s="3">
        <v>45864</v>
      </c>
      <c r="J5" s="2">
        <v>5669.88</v>
      </c>
      <c r="K5" s="2">
        <v>6435.97</v>
      </c>
      <c r="L5" s="2">
        <v>115</v>
      </c>
      <c r="M5" s="2"/>
      <c r="N5" s="2"/>
    </row>
    <row r="6" spans="1:14">
      <c r="A6" s="2">
        <v>1</v>
      </c>
      <c r="B6" s="2">
        <f t="shared" si="0"/>
        <v>19503</v>
      </c>
      <c r="C6" s="2" t="s">
        <v>355</v>
      </c>
      <c r="D6" s="2" t="s">
        <v>358</v>
      </c>
      <c r="E6" s="2" t="s">
        <v>493</v>
      </c>
      <c r="F6" s="4">
        <v>195030003255</v>
      </c>
      <c r="G6" s="2" t="s">
        <v>25</v>
      </c>
      <c r="H6" s="2" t="s">
        <v>12</v>
      </c>
      <c r="I6" s="3">
        <v>45901</v>
      </c>
      <c r="J6" s="2">
        <v>11528.74</v>
      </c>
      <c r="K6" s="2">
        <v>18055.79</v>
      </c>
      <c r="L6" s="2">
        <v>78</v>
      </c>
      <c r="M6" s="2"/>
      <c r="N6" s="2"/>
    </row>
    <row r="7" spans="1:14">
      <c r="A7" s="2">
        <v>1</v>
      </c>
      <c r="B7" s="2">
        <f t="shared" si="0"/>
        <v>19043</v>
      </c>
      <c r="C7" s="2" t="s">
        <v>355</v>
      </c>
      <c r="D7" s="2" t="s">
        <v>359</v>
      </c>
      <c r="E7" s="2" t="s">
        <v>494</v>
      </c>
      <c r="F7" s="4">
        <v>190430001217</v>
      </c>
      <c r="G7" s="2" t="s">
        <v>26</v>
      </c>
      <c r="H7" s="2" t="s">
        <v>12</v>
      </c>
      <c r="I7" s="3">
        <v>45933</v>
      </c>
      <c r="J7" s="2">
        <v>6489.91</v>
      </c>
      <c r="K7" s="2">
        <v>6874.16</v>
      </c>
      <c r="L7" s="2">
        <v>46</v>
      </c>
      <c r="M7" s="2"/>
      <c r="N7" s="2"/>
    </row>
    <row r="8" spans="1:14">
      <c r="A8" s="2">
        <v>1</v>
      </c>
      <c r="B8" s="2">
        <f t="shared" si="0"/>
        <v>19043</v>
      </c>
      <c r="C8" s="2" t="s">
        <v>355</v>
      </c>
      <c r="D8" s="2" t="s">
        <v>359</v>
      </c>
      <c r="E8" s="2" t="s">
        <v>494</v>
      </c>
      <c r="F8" s="4">
        <v>190430032643</v>
      </c>
      <c r="G8" s="2" t="s">
        <v>27</v>
      </c>
      <c r="H8" s="2" t="s">
        <v>12</v>
      </c>
      <c r="I8" s="3">
        <v>45874</v>
      </c>
      <c r="J8" s="2">
        <v>7233.48</v>
      </c>
      <c r="K8" s="2">
        <v>10312.92</v>
      </c>
      <c r="L8" s="2">
        <v>105</v>
      </c>
      <c r="M8" s="2"/>
      <c r="N8" s="2"/>
    </row>
    <row r="9" spans="1:14">
      <c r="A9" s="2">
        <v>1</v>
      </c>
      <c r="B9" s="2">
        <f t="shared" si="0"/>
        <v>19503</v>
      </c>
      <c r="C9" s="2" t="s">
        <v>355</v>
      </c>
      <c r="D9" s="2" t="s">
        <v>358</v>
      </c>
      <c r="E9" s="2" t="s">
        <v>493</v>
      </c>
      <c r="F9" s="4">
        <v>195031981161</v>
      </c>
      <c r="G9" s="2" t="s">
        <v>28</v>
      </c>
      <c r="H9" s="2" t="s">
        <v>12</v>
      </c>
      <c r="I9" s="3">
        <v>45904</v>
      </c>
      <c r="J9" s="2">
        <v>5434.52</v>
      </c>
      <c r="K9" s="2">
        <v>8984.43</v>
      </c>
      <c r="L9" s="2">
        <v>75</v>
      </c>
      <c r="M9" s="2"/>
      <c r="N9" s="2"/>
    </row>
    <row r="10" spans="1:14">
      <c r="A10" s="2">
        <v>1</v>
      </c>
      <c r="B10" s="2">
        <f t="shared" si="0"/>
        <v>19507</v>
      </c>
      <c r="C10" s="2" t="s">
        <v>355</v>
      </c>
      <c r="D10" s="2" t="s">
        <v>360</v>
      </c>
      <c r="E10" s="2" t="s">
        <v>495</v>
      </c>
      <c r="F10" s="4">
        <v>195070028692</v>
      </c>
      <c r="G10" s="2" t="s">
        <v>29</v>
      </c>
      <c r="H10" s="2" t="s">
        <v>12</v>
      </c>
      <c r="I10" s="3">
        <v>45737</v>
      </c>
      <c r="J10" s="2">
        <v>5175</v>
      </c>
      <c r="K10" s="2">
        <v>5719.33</v>
      </c>
      <c r="L10" s="2">
        <v>242</v>
      </c>
      <c r="M10" s="2"/>
      <c r="N10" s="2"/>
    </row>
    <row r="11" spans="1:14">
      <c r="A11" s="2">
        <v>1</v>
      </c>
      <c r="B11" s="2">
        <f t="shared" si="0"/>
        <v>19506</v>
      </c>
      <c r="C11" s="2" t="s">
        <v>355</v>
      </c>
      <c r="D11" s="2" t="s">
        <v>356</v>
      </c>
      <c r="E11" s="2" t="s">
        <v>490</v>
      </c>
      <c r="F11" s="4">
        <v>195060002032</v>
      </c>
      <c r="G11" s="2" t="s">
        <v>30</v>
      </c>
      <c r="H11" s="2" t="s">
        <v>13</v>
      </c>
      <c r="I11" s="3">
        <v>45776</v>
      </c>
      <c r="J11" s="2">
        <v>11496.59</v>
      </c>
      <c r="K11" s="2">
        <v>12285.38</v>
      </c>
      <c r="L11" s="2">
        <v>203</v>
      </c>
      <c r="M11" s="2"/>
      <c r="N11" s="2"/>
    </row>
    <row r="12" spans="1:14">
      <c r="A12" s="2">
        <v>1</v>
      </c>
      <c r="B12" s="2">
        <f t="shared" si="0"/>
        <v>19506</v>
      </c>
      <c r="C12" s="2" t="s">
        <v>355</v>
      </c>
      <c r="D12" s="2" t="s">
        <v>356</v>
      </c>
      <c r="E12" s="2" t="s">
        <v>490</v>
      </c>
      <c r="F12" s="4">
        <v>195060001109</v>
      </c>
      <c r="G12" s="2" t="s">
        <v>31</v>
      </c>
      <c r="H12" s="2" t="s">
        <v>12</v>
      </c>
      <c r="I12" s="3">
        <v>45737</v>
      </c>
      <c r="J12" s="2">
        <v>10293.27</v>
      </c>
      <c r="K12" s="2">
        <v>10423.27</v>
      </c>
      <c r="L12" s="2">
        <v>242</v>
      </c>
      <c r="M12" s="3">
        <v>45959</v>
      </c>
      <c r="N12" s="2"/>
    </row>
    <row r="13" spans="1:14">
      <c r="A13" s="2">
        <v>1</v>
      </c>
      <c r="B13" s="2">
        <f t="shared" si="0"/>
        <v>19685</v>
      </c>
      <c r="C13" s="2" t="s">
        <v>355</v>
      </c>
      <c r="D13" s="2" t="s">
        <v>361</v>
      </c>
      <c r="E13" s="2" t="s">
        <v>496</v>
      </c>
      <c r="F13" s="4">
        <v>196850125289</v>
      </c>
      <c r="G13" s="2" t="s">
        <v>32</v>
      </c>
      <c r="H13" s="2" t="s">
        <v>13</v>
      </c>
      <c r="I13" s="3">
        <v>45406</v>
      </c>
      <c r="J13" s="2">
        <v>38633.43</v>
      </c>
      <c r="K13" s="2">
        <v>39133.43</v>
      </c>
      <c r="L13" s="2">
        <v>573</v>
      </c>
      <c r="M13" s="3">
        <v>45541</v>
      </c>
      <c r="N13" s="2"/>
    </row>
    <row r="14" spans="1:14">
      <c r="A14" s="2">
        <v>1</v>
      </c>
      <c r="B14" s="2">
        <f t="shared" si="0"/>
        <v>19685</v>
      </c>
      <c r="C14" s="2" t="s">
        <v>355</v>
      </c>
      <c r="D14" s="2" t="s">
        <v>361</v>
      </c>
      <c r="E14" s="2" t="s">
        <v>496</v>
      </c>
      <c r="F14" s="4">
        <v>196850000974</v>
      </c>
      <c r="G14" s="2" t="s">
        <v>33</v>
      </c>
      <c r="H14" s="2" t="s">
        <v>24</v>
      </c>
      <c r="I14" s="3">
        <v>45871</v>
      </c>
      <c r="J14" s="2">
        <v>11849.52</v>
      </c>
      <c r="K14" s="2">
        <v>14898.43</v>
      </c>
      <c r="L14" s="2">
        <v>108</v>
      </c>
      <c r="M14" s="2"/>
      <c r="N14" s="2"/>
    </row>
    <row r="15" spans="1:14">
      <c r="A15" s="2">
        <v>1</v>
      </c>
      <c r="B15" s="2">
        <f t="shared" si="0"/>
        <v>19684</v>
      </c>
      <c r="C15" s="2" t="s">
        <v>355</v>
      </c>
      <c r="D15" s="2" t="s">
        <v>362</v>
      </c>
      <c r="E15" s="2" t="s">
        <v>492</v>
      </c>
      <c r="F15" s="4">
        <v>196840001221</v>
      </c>
      <c r="G15" s="2" t="s">
        <v>34</v>
      </c>
      <c r="H15" s="2" t="s">
        <v>13</v>
      </c>
      <c r="I15" s="3">
        <v>45521</v>
      </c>
      <c r="J15" s="2">
        <v>7691.84</v>
      </c>
      <c r="K15" s="2">
        <v>8191.84</v>
      </c>
      <c r="L15" s="2">
        <v>458</v>
      </c>
      <c r="M15" s="2"/>
      <c r="N15" s="2"/>
    </row>
    <row r="16" spans="1:14">
      <c r="A16" s="2">
        <v>1</v>
      </c>
      <c r="B16" s="2">
        <f t="shared" si="0"/>
        <v>19684</v>
      </c>
      <c r="C16" s="2" t="s">
        <v>355</v>
      </c>
      <c r="D16" s="2" t="s">
        <v>362</v>
      </c>
      <c r="E16" s="2" t="s">
        <v>492</v>
      </c>
      <c r="F16" s="4">
        <v>196840000763</v>
      </c>
      <c r="G16" s="2" t="s">
        <v>35</v>
      </c>
      <c r="H16" s="2" t="s">
        <v>13</v>
      </c>
      <c r="I16" s="3">
        <v>45351</v>
      </c>
      <c r="J16" s="2">
        <v>9204.9500000000007</v>
      </c>
      <c r="K16" s="2">
        <v>9704.9500000000007</v>
      </c>
      <c r="L16" s="2">
        <v>628</v>
      </c>
      <c r="M16" s="3">
        <v>45916</v>
      </c>
      <c r="N16" s="2"/>
    </row>
    <row r="17" spans="1:14">
      <c r="A17" s="2">
        <v>1</v>
      </c>
      <c r="B17" s="2">
        <f t="shared" si="0"/>
        <v>19684</v>
      </c>
      <c r="C17" s="2" t="s">
        <v>355</v>
      </c>
      <c r="D17" s="2" t="s">
        <v>362</v>
      </c>
      <c r="E17" s="2" t="s">
        <v>492</v>
      </c>
      <c r="F17" s="4">
        <v>196840001085</v>
      </c>
      <c r="G17" s="2" t="s">
        <v>36</v>
      </c>
      <c r="H17" s="2" t="s">
        <v>13</v>
      </c>
      <c r="I17" s="3">
        <v>45286</v>
      </c>
      <c r="J17" s="2">
        <v>9457.44</v>
      </c>
      <c r="K17" s="2">
        <v>9907.44</v>
      </c>
      <c r="L17" s="2">
        <v>693</v>
      </c>
      <c r="M17" s="3">
        <v>45916</v>
      </c>
      <c r="N17" s="2"/>
    </row>
    <row r="18" spans="1:14">
      <c r="A18" s="2">
        <v>1</v>
      </c>
      <c r="B18" s="2">
        <f t="shared" si="0"/>
        <v>19508</v>
      </c>
      <c r="C18" s="2" t="s">
        <v>355</v>
      </c>
      <c r="D18" s="2" t="s">
        <v>357</v>
      </c>
      <c r="E18" s="2" t="s">
        <v>492</v>
      </c>
      <c r="F18" s="4">
        <v>195080001571</v>
      </c>
      <c r="G18" s="2" t="s">
        <v>37</v>
      </c>
      <c r="H18" s="2" t="s">
        <v>12</v>
      </c>
      <c r="I18" s="3">
        <v>45899</v>
      </c>
      <c r="J18" s="2">
        <v>6327.42</v>
      </c>
      <c r="K18" s="2">
        <v>9425.32</v>
      </c>
      <c r="L18" s="2">
        <v>80</v>
      </c>
      <c r="M18" s="2"/>
      <c r="N18" s="2"/>
    </row>
    <row r="19" spans="1:14">
      <c r="A19" s="2">
        <v>1</v>
      </c>
      <c r="B19" s="2">
        <f t="shared" si="0"/>
        <v>19508</v>
      </c>
      <c r="C19" s="2" t="s">
        <v>355</v>
      </c>
      <c r="D19" s="2" t="s">
        <v>357</v>
      </c>
      <c r="E19" s="2" t="s">
        <v>492</v>
      </c>
      <c r="F19" s="4">
        <v>195081966716</v>
      </c>
      <c r="G19" s="2" t="s">
        <v>38</v>
      </c>
      <c r="H19" s="2" t="s">
        <v>12</v>
      </c>
      <c r="I19" s="3">
        <v>45719</v>
      </c>
      <c r="J19" s="2">
        <v>5696.24</v>
      </c>
      <c r="K19" s="2">
        <v>6180.54</v>
      </c>
      <c r="L19" s="2">
        <v>260</v>
      </c>
      <c r="M19" s="2"/>
      <c r="N19" s="2"/>
    </row>
    <row r="20" spans="1:14">
      <c r="A20" s="2">
        <v>1</v>
      </c>
      <c r="B20" s="2">
        <f t="shared" si="0"/>
        <v>19525</v>
      </c>
      <c r="C20" s="2" t="s">
        <v>355</v>
      </c>
      <c r="D20" s="2" t="s">
        <v>363</v>
      </c>
      <c r="E20" s="2" t="s">
        <v>496</v>
      </c>
      <c r="F20" s="4">
        <v>195250047661</v>
      </c>
      <c r="G20" s="2" t="s">
        <v>39</v>
      </c>
      <c r="H20" s="2" t="s">
        <v>12</v>
      </c>
      <c r="I20" s="3">
        <v>45842</v>
      </c>
      <c r="J20" s="2">
        <v>7062.91</v>
      </c>
      <c r="K20" s="2">
        <v>8425.09</v>
      </c>
      <c r="L20" s="2">
        <v>137</v>
      </c>
      <c r="M20" s="2"/>
      <c r="N20" s="2"/>
    </row>
    <row r="21" spans="1:14">
      <c r="A21" s="2">
        <v>1</v>
      </c>
      <c r="B21" s="2">
        <f t="shared" si="0"/>
        <v>19688</v>
      </c>
      <c r="C21" s="2" t="s">
        <v>355</v>
      </c>
      <c r="D21" s="2" t="s">
        <v>364</v>
      </c>
      <c r="E21" s="2" t="s">
        <v>496</v>
      </c>
      <c r="F21" s="4">
        <v>196880000910</v>
      </c>
      <c r="G21" s="2" t="s">
        <v>40</v>
      </c>
      <c r="H21" s="2" t="s">
        <v>13</v>
      </c>
      <c r="I21" s="3">
        <v>45521</v>
      </c>
      <c r="J21" s="2">
        <v>6518.75</v>
      </c>
      <c r="K21" s="2">
        <v>7018.75</v>
      </c>
      <c r="L21" s="2">
        <v>458</v>
      </c>
      <c r="M21" s="2"/>
      <c r="N21" s="2"/>
    </row>
    <row r="22" spans="1:14">
      <c r="A22" s="2">
        <v>1</v>
      </c>
      <c r="B22" s="2">
        <f t="shared" si="0"/>
        <v>19625</v>
      </c>
      <c r="C22" s="2" t="s">
        <v>355</v>
      </c>
      <c r="D22" s="2" t="s">
        <v>365</v>
      </c>
      <c r="E22" s="2" t="s">
        <v>496</v>
      </c>
      <c r="F22" s="4">
        <v>196250000750</v>
      </c>
      <c r="G22" s="2" t="s">
        <v>41</v>
      </c>
      <c r="H22" s="2" t="s">
        <v>12</v>
      </c>
      <c r="I22" s="3">
        <v>45870</v>
      </c>
      <c r="J22" s="2">
        <v>13614.7</v>
      </c>
      <c r="K22" s="2">
        <v>18052.400000000001</v>
      </c>
      <c r="L22" s="2">
        <v>109</v>
      </c>
      <c r="M22" s="2"/>
      <c r="N22" s="2"/>
    </row>
    <row r="23" spans="1:14">
      <c r="A23" s="2">
        <v>1</v>
      </c>
      <c r="B23" s="2">
        <f t="shared" si="0"/>
        <v>19625</v>
      </c>
      <c r="C23" s="2" t="s">
        <v>355</v>
      </c>
      <c r="D23" s="2" t="s">
        <v>365</v>
      </c>
      <c r="E23" s="2" t="s">
        <v>496</v>
      </c>
      <c r="F23" s="4">
        <v>196250106612</v>
      </c>
      <c r="G23" s="2" t="s">
        <v>42</v>
      </c>
      <c r="H23" s="2" t="s">
        <v>12</v>
      </c>
      <c r="I23" s="3">
        <v>45741</v>
      </c>
      <c r="J23" s="2">
        <v>5629.16</v>
      </c>
      <c r="K23" s="2">
        <v>6610.3</v>
      </c>
      <c r="L23" s="2">
        <v>238</v>
      </c>
      <c r="M23" s="2"/>
      <c r="N23" s="2"/>
    </row>
    <row r="24" spans="1:14">
      <c r="A24" s="2">
        <v>1</v>
      </c>
      <c r="B24" s="2">
        <f t="shared" si="0"/>
        <v>19682</v>
      </c>
      <c r="C24" s="2" t="s">
        <v>355</v>
      </c>
      <c r="D24" s="2" t="s">
        <v>366</v>
      </c>
      <c r="E24" s="2" t="s">
        <v>493</v>
      </c>
      <c r="F24" s="4">
        <v>196820002077</v>
      </c>
      <c r="G24" s="2" t="s">
        <v>43</v>
      </c>
      <c r="H24" s="2" t="s">
        <v>24</v>
      </c>
      <c r="I24" s="3">
        <v>45920</v>
      </c>
      <c r="J24" s="2">
        <v>6881.08</v>
      </c>
      <c r="K24" s="2">
        <v>7473.35</v>
      </c>
      <c r="L24" s="2">
        <v>59</v>
      </c>
      <c r="M24" s="2"/>
      <c r="N24" s="2"/>
    </row>
    <row r="25" spans="1:14">
      <c r="A25" s="2">
        <v>1</v>
      </c>
      <c r="B25" s="2">
        <f t="shared" si="0"/>
        <v>19588</v>
      </c>
      <c r="C25" s="2" t="s">
        <v>355</v>
      </c>
      <c r="D25" s="2" t="s">
        <v>367</v>
      </c>
      <c r="E25" s="2" t="s">
        <v>497</v>
      </c>
      <c r="F25" s="4">
        <v>195881974954</v>
      </c>
      <c r="G25" s="2" t="s">
        <v>44</v>
      </c>
      <c r="H25" s="2" t="s">
        <v>13</v>
      </c>
      <c r="I25" s="3">
        <v>45776</v>
      </c>
      <c r="J25" s="2">
        <v>10768.97</v>
      </c>
      <c r="K25" s="2">
        <v>11371.18</v>
      </c>
      <c r="L25" s="2">
        <v>203</v>
      </c>
      <c r="M25" s="2"/>
      <c r="N25" s="2"/>
    </row>
    <row r="26" spans="1:14">
      <c r="A26" s="2">
        <v>1</v>
      </c>
      <c r="B26" s="2">
        <f t="shared" si="0"/>
        <v>19594</v>
      </c>
      <c r="C26" s="2" t="s">
        <v>355</v>
      </c>
      <c r="D26" s="2" t="s">
        <v>368</v>
      </c>
      <c r="E26" s="2" t="s">
        <v>497</v>
      </c>
      <c r="F26" s="4">
        <v>195941976552</v>
      </c>
      <c r="G26" s="2" t="s">
        <v>45</v>
      </c>
      <c r="H26" s="2" t="s">
        <v>13</v>
      </c>
      <c r="I26" s="3">
        <v>45776</v>
      </c>
      <c r="J26" s="2">
        <v>10907.63</v>
      </c>
      <c r="K26" s="2">
        <v>11367.45</v>
      </c>
      <c r="L26" s="2">
        <v>203</v>
      </c>
      <c r="M26" s="2"/>
      <c r="N26" s="2"/>
    </row>
    <row r="27" spans="1:14">
      <c r="A27" s="2">
        <v>1</v>
      </c>
      <c r="B27" s="2">
        <f t="shared" si="0"/>
        <v>19594</v>
      </c>
      <c r="C27" s="2" t="s">
        <v>355</v>
      </c>
      <c r="D27" s="2" t="s">
        <v>368</v>
      </c>
      <c r="E27" s="2" t="s">
        <v>497</v>
      </c>
      <c r="F27" s="4">
        <v>195941976901</v>
      </c>
      <c r="G27" s="2" t="s">
        <v>46</v>
      </c>
      <c r="H27" s="2" t="s">
        <v>13</v>
      </c>
      <c r="I27" s="3">
        <v>45776</v>
      </c>
      <c r="J27" s="2">
        <v>9975.9</v>
      </c>
      <c r="K27" s="2">
        <v>10475</v>
      </c>
      <c r="L27" s="2">
        <v>203</v>
      </c>
      <c r="M27" s="2"/>
      <c r="N27" s="2"/>
    </row>
    <row r="28" spans="1:14">
      <c r="A28" s="2">
        <v>1</v>
      </c>
      <c r="B28" s="2">
        <f t="shared" si="0"/>
        <v>19587</v>
      </c>
      <c r="C28" s="2" t="s">
        <v>355</v>
      </c>
      <c r="D28" s="2" t="s">
        <v>369</v>
      </c>
      <c r="E28" s="2" t="s">
        <v>497</v>
      </c>
      <c r="F28" s="4">
        <v>195870001601</v>
      </c>
      <c r="G28" s="2" t="s">
        <v>47</v>
      </c>
      <c r="H28" s="2" t="s">
        <v>24</v>
      </c>
      <c r="I28" s="3">
        <v>45706</v>
      </c>
      <c r="J28" s="2">
        <v>14125.34</v>
      </c>
      <c r="K28" s="2">
        <v>15448.77</v>
      </c>
      <c r="L28" s="2">
        <v>273</v>
      </c>
      <c r="M28" s="3">
        <v>45939</v>
      </c>
      <c r="N28" s="2"/>
    </row>
    <row r="29" spans="1:14">
      <c r="A29" s="2">
        <v>0</v>
      </c>
      <c r="B29" s="2">
        <f t="shared" si="0"/>
        <v>19519</v>
      </c>
      <c r="C29" s="2" t="s">
        <v>48</v>
      </c>
      <c r="D29" s="2" t="s">
        <v>370</v>
      </c>
      <c r="E29" s="2" t="s">
        <v>498</v>
      </c>
      <c r="F29" s="4">
        <v>195190039078</v>
      </c>
      <c r="G29" s="2" t="s">
        <v>49</v>
      </c>
      <c r="H29" s="2" t="s">
        <v>11</v>
      </c>
      <c r="I29" s="3">
        <v>45919</v>
      </c>
      <c r="J29" s="2">
        <v>5996.11</v>
      </c>
      <c r="K29" s="2">
        <v>10826.42</v>
      </c>
      <c r="L29" s="2">
        <v>60</v>
      </c>
      <c r="M29" s="2"/>
      <c r="N29" s="2"/>
    </row>
    <row r="30" spans="1:14">
      <c r="A30" s="2">
        <v>0</v>
      </c>
      <c r="B30" s="2">
        <f t="shared" si="0"/>
        <v>19651</v>
      </c>
      <c r="C30" s="2" t="s">
        <v>48</v>
      </c>
      <c r="D30" s="2" t="s">
        <v>371</v>
      </c>
      <c r="E30" s="2" t="s">
        <v>499</v>
      </c>
      <c r="F30" s="4">
        <v>196510001542</v>
      </c>
      <c r="G30" s="2" t="s">
        <v>50</v>
      </c>
      <c r="H30" s="2" t="s">
        <v>10</v>
      </c>
      <c r="I30" s="3">
        <v>45925</v>
      </c>
      <c r="J30" s="2">
        <v>90498.85</v>
      </c>
      <c r="K30" s="2">
        <v>225206.46</v>
      </c>
      <c r="L30" s="2">
        <v>54</v>
      </c>
      <c r="M30" s="2"/>
      <c r="N30" s="2"/>
    </row>
    <row r="31" spans="1:14">
      <c r="A31" s="2">
        <v>2</v>
      </c>
      <c r="B31" s="2">
        <f t="shared" si="0"/>
        <v>19523</v>
      </c>
      <c r="C31" s="2" t="s">
        <v>48</v>
      </c>
      <c r="D31" s="2" t="s">
        <v>372</v>
      </c>
      <c r="E31" s="2" t="s">
        <v>500</v>
      </c>
      <c r="F31" s="4">
        <v>195230045262</v>
      </c>
      <c r="G31" s="2" t="s">
        <v>51</v>
      </c>
      <c r="H31" s="2" t="s">
        <v>12</v>
      </c>
      <c r="I31" s="3">
        <v>45918</v>
      </c>
      <c r="J31" s="2">
        <v>8019.8</v>
      </c>
      <c r="K31" s="2">
        <v>8410.7199999999993</v>
      </c>
      <c r="L31" s="2">
        <v>61</v>
      </c>
      <c r="M31" s="2"/>
      <c r="N31" s="2"/>
    </row>
    <row r="32" spans="1:14">
      <c r="A32" s="2">
        <v>2</v>
      </c>
      <c r="B32" s="2">
        <f t="shared" si="0"/>
        <v>19584</v>
      </c>
      <c r="C32" s="2" t="s">
        <v>48</v>
      </c>
      <c r="D32" s="2" t="s">
        <v>48</v>
      </c>
      <c r="E32" s="2" t="s">
        <v>501</v>
      </c>
      <c r="F32" s="4">
        <v>195840001496</v>
      </c>
      <c r="G32" s="2" t="s">
        <v>52</v>
      </c>
      <c r="H32" s="2" t="s">
        <v>12</v>
      </c>
      <c r="I32" s="3">
        <v>45731</v>
      </c>
      <c r="J32" s="2">
        <v>10358.24</v>
      </c>
      <c r="K32" s="2">
        <v>11531.42</v>
      </c>
      <c r="L32" s="2">
        <v>248</v>
      </c>
      <c r="M32" s="2"/>
      <c r="N32" s="2"/>
    </row>
    <row r="33" spans="1:14">
      <c r="A33" s="2">
        <v>2</v>
      </c>
      <c r="B33" s="2">
        <f t="shared" si="0"/>
        <v>19584</v>
      </c>
      <c r="C33" s="2" t="s">
        <v>48</v>
      </c>
      <c r="D33" s="2" t="s">
        <v>48</v>
      </c>
      <c r="E33" s="2" t="s">
        <v>501</v>
      </c>
      <c r="F33" s="4">
        <v>195840000741</v>
      </c>
      <c r="G33" s="2" t="s">
        <v>53</v>
      </c>
      <c r="H33" s="2" t="s">
        <v>12</v>
      </c>
      <c r="I33" s="3">
        <v>45736</v>
      </c>
      <c r="J33" s="2">
        <v>5385.59</v>
      </c>
      <c r="K33" s="2">
        <v>6311.27</v>
      </c>
      <c r="L33" s="2">
        <v>243</v>
      </c>
      <c r="M33" s="2"/>
      <c r="N33" s="2"/>
    </row>
    <row r="34" spans="1:14">
      <c r="A34" s="2">
        <v>2</v>
      </c>
      <c r="B34" s="2">
        <f t="shared" si="0"/>
        <v>19519</v>
      </c>
      <c r="C34" s="2" t="s">
        <v>48</v>
      </c>
      <c r="D34" s="2" t="s">
        <v>370</v>
      </c>
      <c r="E34" s="2" t="s">
        <v>498</v>
      </c>
      <c r="F34" s="4">
        <v>195190001372</v>
      </c>
      <c r="G34" s="2" t="s">
        <v>54</v>
      </c>
      <c r="H34" s="2" t="s">
        <v>12</v>
      </c>
      <c r="I34" s="3">
        <v>45737</v>
      </c>
      <c r="J34" s="2">
        <v>5623.89</v>
      </c>
      <c r="K34" s="2">
        <v>6777.06</v>
      </c>
      <c r="L34" s="2">
        <v>242</v>
      </c>
      <c r="M34" s="2"/>
      <c r="N34" s="2"/>
    </row>
    <row r="35" spans="1:14">
      <c r="A35" s="2">
        <v>2</v>
      </c>
      <c r="B35" s="2">
        <f t="shared" si="0"/>
        <v>19586</v>
      </c>
      <c r="C35" s="2" t="s">
        <v>48</v>
      </c>
      <c r="D35" s="2" t="s">
        <v>373</v>
      </c>
      <c r="E35" s="2" t="s">
        <v>501</v>
      </c>
      <c r="F35" s="4">
        <v>195860087125</v>
      </c>
      <c r="G35" s="2" t="s">
        <v>55</v>
      </c>
      <c r="H35" s="2" t="s">
        <v>12</v>
      </c>
      <c r="I35" s="3">
        <v>45809</v>
      </c>
      <c r="J35" s="2">
        <v>7921.11</v>
      </c>
      <c r="K35" s="2">
        <v>8051.11</v>
      </c>
      <c r="L35" s="2">
        <v>170</v>
      </c>
      <c r="M35" s="3">
        <v>45959</v>
      </c>
      <c r="N35" s="2"/>
    </row>
    <row r="36" spans="1:14">
      <c r="A36" s="2">
        <v>2</v>
      </c>
      <c r="B36" s="2">
        <f t="shared" si="0"/>
        <v>19586</v>
      </c>
      <c r="C36" s="2" t="s">
        <v>48</v>
      </c>
      <c r="D36" s="2" t="s">
        <v>373</v>
      </c>
      <c r="E36" s="2" t="s">
        <v>501</v>
      </c>
      <c r="F36" s="4">
        <v>195860088652</v>
      </c>
      <c r="G36" s="2" t="s">
        <v>56</v>
      </c>
      <c r="H36" s="2" t="s">
        <v>12</v>
      </c>
      <c r="I36" s="3">
        <v>45863</v>
      </c>
      <c r="J36" s="2">
        <v>5133.79</v>
      </c>
      <c r="K36" s="2">
        <v>7123.51</v>
      </c>
      <c r="L36" s="2">
        <v>116</v>
      </c>
      <c r="M36" s="2"/>
      <c r="N36" s="2"/>
    </row>
    <row r="37" spans="1:14">
      <c r="A37" s="2">
        <v>2</v>
      </c>
      <c r="B37" s="2">
        <f t="shared" si="0"/>
        <v>19585</v>
      </c>
      <c r="C37" s="2" t="s">
        <v>48</v>
      </c>
      <c r="D37" s="2" t="s">
        <v>374</v>
      </c>
      <c r="E37" s="2" t="s">
        <v>501</v>
      </c>
      <c r="F37" s="4">
        <v>195851950104</v>
      </c>
      <c r="G37" s="2" t="s">
        <v>57</v>
      </c>
      <c r="H37" s="2" t="s">
        <v>12</v>
      </c>
      <c r="I37" s="3">
        <v>45732</v>
      </c>
      <c r="J37" s="2">
        <v>7067.37</v>
      </c>
      <c r="K37" s="2">
        <v>8415.52</v>
      </c>
      <c r="L37" s="2">
        <v>247</v>
      </c>
      <c r="M37" s="2"/>
      <c r="N37" s="2"/>
    </row>
    <row r="38" spans="1:14">
      <c r="A38" s="2">
        <v>2</v>
      </c>
      <c r="B38" s="2">
        <f t="shared" si="0"/>
        <v>19585</v>
      </c>
      <c r="C38" s="2" t="s">
        <v>48</v>
      </c>
      <c r="D38" s="2" t="s">
        <v>374</v>
      </c>
      <c r="E38" s="2" t="s">
        <v>501</v>
      </c>
      <c r="F38" s="4">
        <v>195850086511</v>
      </c>
      <c r="G38" s="2" t="s">
        <v>58</v>
      </c>
      <c r="H38" s="2" t="s">
        <v>12</v>
      </c>
      <c r="I38" s="3">
        <v>45737</v>
      </c>
      <c r="J38" s="2">
        <v>19782.849999999999</v>
      </c>
      <c r="K38" s="2">
        <v>22049.62</v>
      </c>
      <c r="L38" s="2">
        <v>242</v>
      </c>
      <c r="M38" s="2"/>
      <c r="N38" s="2"/>
    </row>
    <row r="39" spans="1:14">
      <c r="A39" s="2">
        <v>2</v>
      </c>
      <c r="B39" s="2">
        <f t="shared" si="0"/>
        <v>19590</v>
      </c>
      <c r="C39" s="2" t="s">
        <v>48</v>
      </c>
      <c r="D39" s="2" t="s">
        <v>375</v>
      </c>
      <c r="E39" s="2" t="s">
        <v>502</v>
      </c>
      <c r="F39" s="4">
        <v>195900091171</v>
      </c>
      <c r="G39" s="2" t="s">
        <v>59</v>
      </c>
      <c r="H39" s="2" t="s">
        <v>12</v>
      </c>
      <c r="I39" s="3">
        <v>45734</v>
      </c>
      <c r="J39" s="2">
        <v>10097.469999999999</v>
      </c>
      <c r="K39" s="2">
        <v>11720.18</v>
      </c>
      <c r="L39" s="2">
        <v>245</v>
      </c>
      <c r="M39" s="2"/>
      <c r="N39" s="2"/>
    </row>
    <row r="40" spans="1:14">
      <c r="A40" s="2">
        <v>2</v>
      </c>
      <c r="B40" s="2">
        <f t="shared" si="0"/>
        <v>19629</v>
      </c>
      <c r="C40" s="2" t="s">
        <v>48</v>
      </c>
      <c r="D40" s="2" t="s">
        <v>376</v>
      </c>
      <c r="E40" s="2" t="s">
        <v>503</v>
      </c>
      <c r="F40" s="4">
        <v>196290108316</v>
      </c>
      <c r="G40" s="2" t="s">
        <v>60</v>
      </c>
      <c r="H40" s="2" t="s">
        <v>12</v>
      </c>
      <c r="I40" s="3">
        <v>45919</v>
      </c>
      <c r="J40" s="2">
        <v>9093.31</v>
      </c>
      <c r="K40" s="2">
        <v>17647.32</v>
      </c>
      <c r="L40" s="2">
        <v>60</v>
      </c>
      <c r="M40" s="2"/>
      <c r="N40" s="2"/>
    </row>
    <row r="41" spans="1:14">
      <c r="A41" s="2">
        <v>2</v>
      </c>
      <c r="B41" s="2">
        <f t="shared" si="0"/>
        <v>19582</v>
      </c>
      <c r="C41" s="2" t="s">
        <v>48</v>
      </c>
      <c r="D41" s="2" t="s">
        <v>377</v>
      </c>
      <c r="E41" s="2" t="s">
        <v>504</v>
      </c>
      <c r="F41" s="4">
        <v>195820001236</v>
      </c>
      <c r="G41" s="2" t="s">
        <v>61</v>
      </c>
      <c r="H41" s="2" t="s">
        <v>12</v>
      </c>
      <c r="I41" s="3">
        <v>45911</v>
      </c>
      <c r="J41" s="2">
        <v>21293.93</v>
      </c>
      <c r="K41" s="2">
        <v>27402.799999999999</v>
      </c>
      <c r="L41" s="2">
        <v>68</v>
      </c>
      <c r="M41" s="2"/>
      <c r="N41" s="2"/>
    </row>
    <row r="42" spans="1:14">
      <c r="A42" s="2">
        <v>2</v>
      </c>
      <c r="B42" s="2">
        <f t="shared" si="0"/>
        <v>19651</v>
      </c>
      <c r="C42" s="2" t="s">
        <v>48</v>
      </c>
      <c r="D42" s="2" t="s">
        <v>371</v>
      </c>
      <c r="E42" s="2" t="s">
        <v>499</v>
      </c>
      <c r="F42" s="4">
        <v>196510002697</v>
      </c>
      <c r="G42" s="2" t="s">
        <v>62</v>
      </c>
      <c r="H42" s="2" t="s">
        <v>12</v>
      </c>
      <c r="I42" s="3">
        <v>45735</v>
      </c>
      <c r="J42" s="2">
        <v>9165.64</v>
      </c>
      <c r="K42" s="2">
        <v>9295.64</v>
      </c>
      <c r="L42" s="2">
        <v>244</v>
      </c>
      <c r="M42" s="3">
        <v>45925</v>
      </c>
      <c r="N42" s="2"/>
    </row>
    <row r="43" spans="1:14">
      <c r="A43" s="2">
        <v>2</v>
      </c>
      <c r="B43" s="2">
        <f t="shared" si="0"/>
        <v>19651</v>
      </c>
      <c r="C43" s="2" t="s">
        <v>48</v>
      </c>
      <c r="D43" s="2" t="s">
        <v>371</v>
      </c>
      <c r="E43" s="2" t="s">
        <v>499</v>
      </c>
      <c r="F43" s="4">
        <v>196510002671</v>
      </c>
      <c r="G43" s="2" t="s">
        <v>63</v>
      </c>
      <c r="H43" s="2" t="s">
        <v>10</v>
      </c>
      <c r="I43" s="3">
        <v>45937</v>
      </c>
      <c r="J43" s="2">
        <v>15522.27</v>
      </c>
      <c r="K43" s="2">
        <v>32990.22</v>
      </c>
      <c r="L43" s="2">
        <v>42</v>
      </c>
      <c r="M43" s="2"/>
      <c r="N43" s="2"/>
    </row>
    <row r="44" spans="1:14">
      <c r="A44" s="2">
        <v>2</v>
      </c>
      <c r="B44" s="2">
        <f t="shared" si="0"/>
        <v>19651</v>
      </c>
      <c r="C44" s="2" t="s">
        <v>48</v>
      </c>
      <c r="D44" s="2" t="s">
        <v>371</v>
      </c>
      <c r="E44" s="2" t="s">
        <v>499</v>
      </c>
      <c r="F44" s="4">
        <v>196510002425</v>
      </c>
      <c r="G44" s="2" t="s">
        <v>64</v>
      </c>
      <c r="H44" s="2" t="s">
        <v>10</v>
      </c>
      <c r="I44" s="3">
        <v>45913</v>
      </c>
      <c r="J44" s="2">
        <v>6626.52</v>
      </c>
      <c r="K44" s="2">
        <v>13874.12</v>
      </c>
      <c r="L44" s="2">
        <v>66</v>
      </c>
      <c r="M44" s="2"/>
      <c r="N44" s="2"/>
    </row>
    <row r="45" spans="1:14">
      <c r="A45" s="2">
        <v>2</v>
      </c>
      <c r="B45" s="2">
        <f t="shared" si="0"/>
        <v>19651</v>
      </c>
      <c r="C45" s="2" t="s">
        <v>48</v>
      </c>
      <c r="D45" s="2" t="s">
        <v>371</v>
      </c>
      <c r="E45" s="2" t="s">
        <v>499</v>
      </c>
      <c r="F45" s="4">
        <v>196510113952</v>
      </c>
      <c r="G45" s="2" t="s">
        <v>65</v>
      </c>
      <c r="H45" s="2" t="s">
        <v>12</v>
      </c>
      <c r="I45" s="3">
        <v>45888</v>
      </c>
      <c r="J45" s="2">
        <v>5452.33</v>
      </c>
      <c r="K45" s="2">
        <v>10525.27</v>
      </c>
      <c r="L45" s="2">
        <v>91</v>
      </c>
      <c r="M45" s="2"/>
      <c r="N45" s="2"/>
    </row>
    <row r="46" spans="1:14">
      <c r="A46" s="2">
        <v>2</v>
      </c>
      <c r="B46" s="2">
        <f t="shared" si="0"/>
        <v>19519</v>
      </c>
      <c r="C46" s="2" t="s">
        <v>48</v>
      </c>
      <c r="D46" s="2" t="s">
        <v>370</v>
      </c>
      <c r="E46" s="2" t="s">
        <v>498</v>
      </c>
      <c r="F46" s="4">
        <v>195190002077</v>
      </c>
      <c r="G46" s="2" t="s">
        <v>66</v>
      </c>
      <c r="H46" s="2" t="s">
        <v>24</v>
      </c>
      <c r="I46" s="3">
        <v>45869</v>
      </c>
      <c r="J46" s="2">
        <v>6345.34</v>
      </c>
      <c r="K46" s="2">
        <v>8383.3799999999992</v>
      </c>
      <c r="L46" s="2">
        <v>110</v>
      </c>
      <c r="M46" s="2"/>
      <c r="N46" s="2"/>
    </row>
    <row r="47" spans="1:14">
      <c r="A47" s="2">
        <v>2</v>
      </c>
      <c r="B47" s="2">
        <f t="shared" si="0"/>
        <v>19570</v>
      </c>
      <c r="C47" s="2" t="s">
        <v>48</v>
      </c>
      <c r="D47" s="2" t="s">
        <v>378</v>
      </c>
      <c r="E47" s="2" t="s">
        <v>501</v>
      </c>
      <c r="F47" s="4">
        <v>195700002107</v>
      </c>
      <c r="G47" s="2" t="s">
        <v>67</v>
      </c>
      <c r="H47" s="2" t="s">
        <v>10</v>
      </c>
      <c r="I47" s="3">
        <v>45920</v>
      </c>
      <c r="J47" s="2">
        <v>5197.91</v>
      </c>
      <c r="K47" s="2">
        <v>11340.27</v>
      </c>
      <c r="L47" s="2">
        <v>59</v>
      </c>
      <c r="M47" s="2"/>
      <c r="N47" s="2"/>
    </row>
    <row r="48" spans="1:14">
      <c r="A48" s="2">
        <v>5</v>
      </c>
      <c r="B48" s="2">
        <f t="shared" si="0"/>
        <v>19678</v>
      </c>
      <c r="C48" s="2" t="s">
        <v>124</v>
      </c>
      <c r="D48" s="2" t="s">
        <v>379</v>
      </c>
      <c r="E48" s="2" t="s">
        <v>505</v>
      </c>
      <c r="F48" s="4">
        <v>196780001188</v>
      </c>
      <c r="G48" s="2" t="s">
        <v>68</v>
      </c>
      <c r="H48" s="2" t="s">
        <v>13</v>
      </c>
      <c r="I48" s="3">
        <v>45776</v>
      </c>
      <c r="J48" s="2">
        <v>8944.42</v>
      </c>
      <c r="K48" s="2">
        <v>9394.42</v>
      </c>
      <c r="L48" s="2">
        <v>203</v>
      </c>
      <c r="M48" s="2"/>
      <c r="N48" s="2"/>
    </row>
    <row r="49" spans="1:14">
      <c r="A49" s="2">
        <v>6</v>
      </c>
      <c r="B49" s="2">
        <f t="shared" si="0"/>
        <v>19618</v>
      </c>
      <c r="C49" s="2" t="s">
        <v>230</v>
      </c>
      <c r="D49" s="2" t="s">
        <v>380</v>
      </c>
      <c r="E49" s="2" t="s">
        <v>506</v>
      </c>
      <c r="F49" s="4">
        <v>196180000901</v>
      </c>
      <c r="G49" s="2" t="s">
        <v>69</v>
      </c>
      <c r="H49" s="2" t="s">
        <v>10</v>
      </c>
      <c r="I49" s="3">
        <v>45803</v>
      </c>
      <c r="J49" s="2">
        <v>5225.55</v>
      </c>
      <c r="K49" s="2">
        <v>5225.55</v>
      </c>
      <c r="L49" s="2">
        <v>176</v>
      </c>
      <c r="M49" s="3">
        <v>45976</v>
      </c>
      <c r="N49" s="2"/>
    </row>
    <row r="50" spans="1:14">
      <c r="A50" s="2">
        <v>0</v>
      </c>
      <c r="B50" s="2">
        <f t="shared" si="0"/>
        <v>19531</v>
      </c>
      <c r="C50" s="2" t="s">
        <v>70</v>
      </c>
      <c r="D50" s="2" t="s">
        <v>381</v>
      </c>
      <c r="E50" s="2" t="s">
        <v>507</v>
      </c>
      <c r="F50" s="4">
        <v>195310052456</v>
      </c>
      <c r="G50" s="2" t="s">
        <v>71</v>
      </c>
      <c r="H50" s="2" t="s">
        <v>11</v>
      </c>
      <c r="I50" s="3">
        <v>45441</v>
      </c>
      <c r="J50" s="2">
        <v>7748.5</v>
      </c>
      <c r="K50" s="2">
        <v>8348.5</v>
      </c>
      <c r="L50" s="2">
        <v>538</v>
      </c>
      <c r="M50" s="3">
        <v>45653</v>
      </c>
      <c r="N50" s="2"/>
    </row>
    <row r="51" spans="1:14">
      <c r="A51" s="2">
        <v>0</v>
      </c>
      <c r="B51" s="2">
        <f t="shared" si="0"/>
        <v>19505</v>
      </c>
      <c r="C51" s="2" t="s">
        <v>70</v>
      </c>
      <c r="D51" s="2" t="s">
        <v>382</v>
      </c>
      <c r="E51" s="2" t="s">
        <v>508</v>
      </c>
      <c r="F51" s="4">
        <v>195050023210</v>
      </c>
      <c r="G51" s="2" t="s">
        <v>72</v>
      </c>
      <c r="H51" s="2" t="s">
        <v>11</v>
      </c>
      <c r="I51" s="3">
        <v>45929</v>
      </c>
      <c r="J51" s="2">
        <v>5883.53</v>
      </c>
      <c r="K51" s="2">
        <v>11292.01</v>
      </c>
      <c r="L51" s="2">
        <v>50</v>
      </c>
      <c r="M51" s="2"/>
      <c r="N51" s="2"/>
    </row>
    <row r="52" spans="1:14">
      <c r="A52" s="2">
        <v>0</v>
      </c>
      <c r="B52" s="2">
        <f t="shared" si="0"/>
        <v>19504</v>
      </c>
      <c r="C52" s="2" t="s">
        <v>70</v>
      </c>
      <c r="D52" s="2" t="s">
        <v>70</v>
      </c>
      <c r="E52" s="2" t="s">
        <v>509</v>
      </c>
      <c r="F52" s="4">
        <v>195040017599</v>
      </c>
      <c r="G52" s="2" t="s">
        <v>73</v>
      </c>
      <c r="H52" s="2" t="s">
        <v>11</v>
      </c>
      <c r="I52" s="3">
        <v>45372</v>
      </c>
      <c r="J52" s="2">
        <v>12138.63</v>
      </c>
      <c r="K52" s="2">
        <v>12138.63</v>
      </c>
      <c r="L52" s="2">
        <v>607</v>
      </c>
      <c r="M52" s="3">
        <v>45654</v>
      </c>
      <c r="N52" s="2"/>
    </row>
    <row r="53" spans="1:14">
      <c r="A53" s="2">
        <v>0</v>
      </c>
      <c r="B53" s="2">
        <f t="shared" si="0"/>
        <v>19504</v>
      </c>
      <c r="C53" s="2" t="s">
        <v>70</v>
      </c>
      <c r="D53" s="2" t="s">
        <v>70</v>
      </c>
      <c r="E53" s="2" t="s">
        <v>509</v>
      </c>
      <c r="F53" s="4">
        <v>195040045754</v>
      </c>
      <c r="G53" s="2" t="s">
        <v>74</v>
      </c>
      <c r="H53" s="2" t="s">
        <v>10</v>
      </c>
      <c r="I53" s="3">
        <v>45958</v>
      </c>
      <c r="J53" s="2">
        <v>12423.32</v>
      </c>
      <c r="K53" s="2">
        <v>25843.86</v>
      </c>
      <c r="L53" s="2">
        <v>21</v>
      </c>
      <c r="M53" s="2"/>
      <c r="N53" s="2"/>
    </row>
    <row r="54" spans="1:14">
      <c r="A54" s="2">
        <v>0</v>
      </c>
      <c r="B54" s="2">
        <f t="shared" si="0"/>
        <v>19521</v>
      </c>
      <c r="C54" s="2" t="s">
        <v>70</v>
      </c>
      <c r="D54" s="2" t="s">
        <v>383</v>
      </c>
      <c r="E54" s="2" t="s">
        <v>510</v>
      </c>
      <c r="F54" s="4">
        <v>195211921051</v>
      </c>
      <c r="G54" s="2" t="s">
        <v>75</v>
      </c>
      <c r="H54" s="2" t="s">
        <v>13</v>
      </c>
      <c r="I54" s="3">
        <v>45976</v>
      </c>
      <c r="J54" s="2">
        <v>31995.67</v>
      </c>
      <c r="K54" s="2">
        <v>46495.21</v>
      </c>
      <c r="L54" s="2">
        <v>3</v>
      </c>
      <c r="M54" s="2"/>
      <c r="N54" s="2"/>
    </row>
    <row r="55" spans="1:14">
      <c r="A55" s="2">
        <v>8</v>
      </c>
      <c r="B55" s="2">
        <f t="shared" si="0"/>
        <v>19526</v>
      </c>
      <c r="C55" s="2" t="s">
        <v>70</v>
      </c>
      <c r="D55" s="2" t="s">
        <v>384</v>
      </c>
      <c r="E55" s="2" t="s">
        <v>511</v>
      </c>
      <c r="F55" s="4">
        <v>195260001740</v>
      </c>
      <c r="G55" s="2" t="s">
        <v>76</v>
      </c>
      <c r="H55" s="2" t="s">
        <v>12</v>
      </c>
      <c r="I55" s="3">
        <v>45494</v>
      </c>
      <c r="J55" s="2">
        <v>13294.9</v>
      </c>
      <c r="K55" s="2">
        <v>13294.9</v>
      </c>
      <c r="L55" s="2">
        <v>485</v>
      </c>
      <c r="M55" s="3">
        <v>45719</v>
      </c>
      <c r="N55" s="2"/>
    </row>
    <row r="56" spans="1:14">
      <c r="A56" s="2">
        <v>8</v>
      </c>
      <c r="B56" s="2">
        <f t="shared" si="0"/>
        <v>19511</v>
      </c>
      <c r="C56" s="2" t="s">
        <v>70</v>
      </c>
      <c r="D56" s="2" t="s">
        <v>385</v>
      </c>
      <c r="E56" s="2" t="s">
        <v>510</v>
      </c>
      <c r="F56" s="4">
        <v>195110033341</v>
      </c>
      <c r="G56" s="2" t="s">
        <v>77</v>
      </c>
      <c r="H56" s="2" t="s">
        <v>12</v>
      </c>
      <c r="I56" s="3">
        <v>45635</v>
      </c>
      <c r="J56" s="2">
        <v>5287</v>
      </c>
      <c r="K56" s="2">
        <v>5287</v>
      </c>
      <c r="L56" s="2">
        <v>344</v>
      </c>
      <c r="M56" s="3">
        <v>45925</v>
      </c>
      <c r="N56" s="2"/>
    </row>
    <row r="57" spans="1:14">
      <c r="A57" s="2">
        <v>8</v>
      </c>
      <c r="B57" s="2">
        <f t="shared" si="0"/>
        <v>19511</v>
      </c>
      <c r="C57" s="2" t="s">
        <v>70</v>
      </c>
      <c r="D57" s="2" t="s">
        <v>385</v>
      </c>
      <c r="E57" s="2" t="s">
        <v>510</v>
      </c>
      <c r="F57" s="4">
        <v>195110003094</v>
      </c>
      <c r="G57" s="2" t="s">
        <v>78</v>
      </c>
      <c r="H57" s="2" t="s">
        <v>24</v>
      </c>
      <c r="I57" s="3">
        <v>45791</v>
      </c>
      <c r="J57" s="2">
        <v>18509.12</v>
      </c>
      <c r="K57" s="2">
        <v>18509.12</v>
      </c>
      <c r="L57" s="2">
        <v>188</v>
      </c>
      <c r="M57" s="3">
        <v>45925</v>
      </c>
      <c r="N57" s="2"/>
    </row>
    <row r="58" spans="1:14">
      <c r="A58" s="2">
        <v>8</v>
      </c>
      <c r="B58" s="2">
        <f t="shared" si="0"/>
        <v>19511</v>
      </c>
      <c r="C58" s="2" t="s">
        <v>70</v>
      </c>
      <c r="D58" s="2" t="s">
        <v>385</v>
      </c>
      <c r="E58" s="2" t="s">
        <v>510</v>
      </c>
      <c r="F58" s="4">
        <v>195110022030</v>
      </c>
      <c r="G58" s="2" t="s">
        <v>79</v>
      </c>
      <c r="H58" s="2" t="s">
        <v>12</v>
      </c>
      <c r="I58" s="3">
        <v>45723</v>
      </c>
      <c r="J58" s="2">
        <v>7786.9</v>
      </c>
      <c r="K58" s="2">
        <v>7786.9</v>
      </c>
      <c r="L58" s="2">
        <v>256</v>
      </c>
      <c r="M58" s="3">
        <v>45925</v>
      </c>
      <c r="N58" s="2"/>
    </row>
    <row r="59" spans="1:14">
      <c r="A59" s="2">
        <v>8</v>
      </c>
      <c r="B59" s="2">
        <f t="shared" si="0"/>
        <v>19511</v>
      </c>
      <c r="C59" s="2" t="s">
        <v>70</v>
      </c>
      <c r="D59" s="2" t="s">
        <v>385</v>
      </c>
      <c r="E59" s="2" t="s">
        <v>510</v>
      </c>
      <c r="F59" s="4">
        <v>195110033279</v>
      </c>
      <c r="G59" s="2" t="s">
        <v>80</v>
      </c>
      <c r="H59" s="2" t="s">
        <v>13</v>
      </c>
      <c r="I59" s="3">
        <v>45776</v>
      </c>
      <c r="J59" s="2">
        <v>6228.6</v>
      </c>
      <c r="K59" s="2">
        <v>6228.6</v>
      </c>
      <c r="L59" s="2">
        <v>203</v>
      </c>
      <c r="M59" s="2"/>
      <c r="N59" s="2"/>
    </row>
    <row r="60" spans="1:14">
      <c r="A60" s="2">
        <v>8</v>
      </c>
      <c r="B60" s="2">
        <f t="shared" si="0"/>
        <v>19511</v>
      </c>
      <c r="C60" s="2" t="s">
        <v>70</v>
      </c>
      <c r="D60" s="2" t="s">
        <v>385</v>
      </c>
      <c r="E60" s="2" t="s">
        <v>510</v>
      </c>
      <c r="F60" s="4">
        <v>195110022170</v>
      </c>
      <c r="G60" s="2" t="s">
        <v>81</v>
      </c>
      <c r="H60" s="2" t="s">
        <v>24</v>
      </c>
      <c r="I60" s="3">
        <v>45919</v>
      </c>
      <c r="J60" s="2">
        <v>9798.89</v>
      </c>
      <c r="K60" s="2">
        <v>9798.89</v>
      </c>
      <c r="L60" s="2">
        <v>60</v>
      </c>
      <c r="M60" s="2"/>
      <c r="N60" s="2"/>
    </row>
    <row r="61" spans="1:14">
      <c r="A61" s="2">
        <v>8</v>
      </c>
      <c r="B61" s="2">
        <f t="shared" si="0"/>
        <v>19511</v>
      </c>
      <c r="C61" s="2" t="s">
        <v>70</v>
      </c>
      <c r="D61" s="2" t="s">
        <v>385</v>
      </c>
      <c r="E61" s="2" t="s">
        <v>510</v>
      </c>
      <c r="F61" s="4">
        <v>195111958497</v>
      </c>
      <c r="G61" s="2" t="s">
        <v>82</v>
      </c>
      <c r="H61" s="2" t="s">
        <v>12</v>
      </c>
      <c r="I61" s="3">
        <v>45565</v>
      </c>
      <c r="J61" s="2">
        <v>8535.91</v>
      </c>
      <c r="K61" s="2">
        <v>8535.91</v>
      </c>
      <c r="L61" s="2">
        <v>414</v>
      </c>
      <c r="M61" s="3">
        <v>45925</v>
      </c>
      <c r="N61" s="2"/>
    </row>
    <row r="62" spans="1:14">
      <c r="A62" s="2">
        <v>8</v>
      </c>
      <c r="B62" s="2">
        <f t="shared" si="0"/>
        <v>19511</v>
      </c>
      <c r="C62" s="2" t="s">
        <v>70</v>
      </c>
      <c r="D62" s="2" t="s">
        <v>385</v>
      </c>
      <c r="E62" s="2" t="s">
        <v>510</v>
      </c>
      <c r="F62" s="4">
        <v>195111933958</v>
      </c>
      <c r="G62" s="2" t="s">
        <v>83</v>
      </c>
      <c r="H62" s="2" t="s">
        <v>13</v>
      </c>
      <c r="I62" s="3">
        <v>45776</v>
      </c>
      <c r="J62" s="2">
        <v>10054.790000000001</v>
      </c>
      <c r="K62" s="2">
        <v>10054.790000000001</v>
      </c>
      <c r="L62" s="2">
        <v>203</v>
      </c>
      <c r="M62" s="2"/>
      <c r="N62" s="2"/>
    </row>
    <row r="63" spans="1:14">
      <c r="A63" s="2">
        <v>8</v>
      </c>
      <c r="B63" s="2">
        <f t="shared" si="0"/>
        <v>19511</v>
      </c>
      <c r="C63" s="2" t="s">
        <v>70</v>
      </c>
      <c r="D63" s="2" t="s">
        <v>385</v>
      </c>
      <c r="E63" s="2" t="s">
        <v>510</v>
      </c>
      <c r="F63" s="4">
        <v>195110002209</v>
      </c>
      <c r="G63" s="2" t="s">
        <v>84</v>
      </c>
      <c r="H63" s="2" t="s">
        <v>12</v>
      </c>
      <c r="I63" s="3">
        <v>45925</v>
      </c>
      <c r="J63" s="2">
        <v>6443.02</v>
      </c>
      <c r="K63" s="2">
        <v>6443.02</v>
      </c>
      <c r="L63" s="2">
        <v>54</v>
      </c>
      <c r="M63" s="2"/>
      <c r="N63" s="2"/>
    </row>
    <row r="64" spans="1:14">
      <c r="A64" s="2">
        <v>8</v>
      </c>
      <c r="B64" s="2">
        <f t="shared" si="0"/>
        <v>19543</v>
      </c>
      <c r="C64" s="2" t="s">
        <v>70</v>
      </c>
      <c r="D64" s="2" t="s">
        <v>386</v>
      </c>
      <c r="E64" s="2" t="s">
        <v>511</v>
      </c>
      <c r="F64" s="4">
        <v>195430060576</v>
      </c>
      <c r="G64" s="2" t="s">
        <v>85</v>
      </c>
      <c r="H64" s="2" t="s">
        <v>12</v>
      </c>
      <c r="I64" s="3">
        <v>45868</v>
      </c>
      <c r="J64" s="2">
        <v>21831.69</v>
      </c>
      <c r="K64" s="2">
        <v>21831.69</v>
      </c>
      <c r="L64" s="2">
        <v>111</v>
      </c>
      <c r="M64" s="2"/>
      <c r="N64" s="2"/>
    </row>
    <row r="65" spans="1:14">
      <c r="A65" s="2">
        <v>8</v>
      </c>
      <c r="B65" s="2">
        <f t="shared" si="0"/>
        <v>18867</v>
      </c>
      <c r="C65" s="2" t="s">
        <v>70</v>
      </c>
      <c r="D65" s="2" t="s">
        <v>387</v>
      </c>
      <c r="E65" s="2" t="s">
        <v>511</v>
      </c>
      <c r="F65" s="4">
        <v>188670000647</v>
      </c>
      <c r="G65" s="2" t="s">
        <v>86</v>
      </c>
      <c r="H65" s="2" t="s">
        <v>13</v>
      </c>
      <c r="I65" s="3">
        <v>45776</v>
      </c>
      <c r="J65" s="2">
        <v>9850.2999999999993</v>
      </c>
      <c r="K65" s="2">
        <v>9850.2999999999993</v>
      </c>
      <c r="L65" s="2">
        <v>203</v>
      </c>
      <c r="M65" s="2"/>
      <c r="N65" s="2"/>
    </row>
    <row r="66" spans="1:14">
      <c r="A66" s="2">
        <v>8</v>
      </c>
      <c r="B66" s="2">
        <f t="shared" si="0"/>
        <v>19509</v>
      </c>
      <c r="C66" s="2" t="s">
        <v>70</v>
      </c>
      <c r="D66" s="2" t="s">
        <v>388</v>
      </c>
      <c r="E66" s="2" t="s">
        <v>507</v>
      </c>
      <c r="F66" s="4">
        <v>195090031053</v>
      </c>
      <c r="G66" s="2" t="s">
        <v>87</v>
      </c>
      <c r="H66" s="2" t="s">
        <v>13</v>
      </c>
      <c r="I66" s="3">
        <v>45866</v>
      </c>
      <c r="J66" s="2">
        <v>16238.57</v>
      </c>
      <c r="K66" s="2">
        <v>16238.57</v>
      </c>
      <c r="L66" s="2">
        <v>113</v>
      </c>
      <c r="M66" s="2"/>
      <c r="N66" s="2"/>
    </row>
    <row r="67" spans="1:14">
      <c r="A67" s="2">
        <v>8</v>
      </c>
      <c r="B67" s="2">
        <f t="shared" ref="B67:B130" si="1">VALUE(LEFT(F67,5))</f>
        <v>19534</v>
      </c>
      <c r="C67" s="2" t="s">
        <v>70</v>
      </c>
      <c r="D67" s="2" t="s">
        <v>389</v>
      </c>
      <c r="E67" s="2" t="s">
        <v>512</v>
      </c>
      <c r="F67" s="4">
        <v>195340001945</v>
      </c>
      <c r="G67" s="2" t="s">
        <v>88</v>
      </c>
      <c r="H67" s="2" t="s">
        <v>12</v>
      </c>
      <c r="I67" s="3">
        <v>45353</v>
      </c>
      <c r="J67" s="2">
        <v>6009.23</v>
      </c>
      <c r="K67" s="2">
        <v>6139.23</v>
      </c>
      <c r="L67" s="2">
        <v>626</v>
      </c>
      <c r="M67" s="3">
        <v>45722</v>
      </c>
      <c r="N67" s="2"/>
    </row>
    <row r="68" spans="1:14">
      <c r="A68" s="2">
        <v>8</v>
      </c>
      <c r="B68" s="2">
        <f t="shared" si="1"/>
        <v>19544</v>
      </c>
      <c r="C68" s="2" t="s">
        <v>70</v>
      </c>
      <c r="D68" s="2" t="s">
        <v>390</v>
      </c>
      <c r="E68" s="2" t="s">
        <v>511</v>
      </c>
      <c r="F68" s="4">
        <v>195441920801</v>
      </c>
      <c r="G68" s="2" t="s">
        <v>89</v>
      </c>
      <c r="H68" s="2" t="s">
        <v>12</v>
      </c>
      <c r="I68" s="3">
        <v>45652</v>
      </c>
      <c r="J68" s="2">
        <v>8942.27</v>
      </c>
      <c r="K68" s="2">
        <v>9800.67</v>
      </c>
      <c r="L68" s="2">
        <v>327</v>
      </c>
      <c r="M68" s="3">
        <v>45958</v>
      </c>
      <c r="N68" s="2"/>
    </row>
    <row r="69" spans="1:14">
      <c r="A69" s="2">
        <v>8</v>
      </c>
      <c r="B69" s="2">
        <f t="shared" si="1"/>
        <v>19504</v>
      </c>
      <c r="C69" s="2" t="s">
        <v>70</v>
      </c>
      <c r="D69" s="2" t="s">
        <v>70</v>
      </c>
      <c r="E69" s="2" t="s">
        <v>509</v>
      </c>
      <c r="F69" s="4">
        <v>195040019770</v>
      </c>
      <c r="G69" s="2" t="s">
        <v>90</v>
      </c>
      <c r="H69" s="2" t="s">
        <v>12</v>
      </c>
      <c r="I69" s="3">
        <v>45899</v>
      </c>
      <c r="J69" s="2">
        <v>6691.71</v>
      </c>
      <c r="K69" s="2">
        <v>6691.71</v>
      </c>
      <c r="L69" s="2">
        <v>80</v>
      </c>
      <c r="M69" s="2"/>
      <c r="N69" s="2"/>
    </row>
    <row r="70" spans="1:14">
      <c r="A70" s="2">
        <v>8</v>
      </c>
      <c r="B70" s="2">
        <f t="shared" si="1"/>
        <v>19504</v>
      </c>
      <c r="C70" s="2" t="s">
        <v>70</v>
      </c>
      <c r="D70" s="2" t="s">
        <v>70</v>
      </c>
      <c r="E70" s="2" t="s">
        <v>509</v>
      </c>
      <c r="F70" s="4">
        <v>195040018731</v>
      </c>
      <c r="G70" s="2" t="s">
        <v>91</v>
      </c>
      <c r="H70" s="2" t="s">
        <v>12</v>
      </c>
      <c r="I70" s="3">
        <v>45912</v>
      </c>
      <c r="J70" s="2">
        <v>7394.26</v>
      </c>
      <c r="K70" s="2">
        <v>7394.26</v>
      </c>
      <c r="L70" s="2">
        <v>67</v>
      </c>
      <c r="M70" s="2"/>
      <c r="N70" s="2"/>
    </row>
    <row r="71" spans="1:14">
      <c r="A71" s="2">
        <v>8</v>
      </c>
      <c r="B71" s="2">
        <f t="shared" si="1"/>
        <v>19504</v>
      </c>
      <c r="C71" s="2" t="s">
        <v>70</v>
      </c>
      <c r="D71" s="2" t="s">
        <v>70</v>
      </c>
      <c r="E71" s="2" t="s">
        <v>509</v>
      </c>
      <c r="F71" s="4">
        <v>195040002559</v>
      </c>
      <c r="G71" s="2" t="s">
        <v>92</v>
      </c>
      <c r="H71" s="2" t="s">
        <v>12</v>
      </c>
      <c r="I71" s="3">
        <v>45967</v>
      </c>
      <c r="J71" s="2">
        <v>20348.07</v>
      </c>
      <c r="K71" s="2">
        <v>20348.07</v>
      </c>
      <c r="L71" s="2">
        <v>12</v>
      </c>
      <c r="M71" s="2"/>
      <c r="N71" s="2"/>
    </row>
    <row r="72" spans="1:14">
      <c r="A72" s="2">
        <v>8</v>
      </c>
      <c r="B72" s="2">
        <f t="shared" si="1"/>
        <v>19504</v>
      </c>
      <c r="C72" s="2" t="s">
        <v>70</v>
      </c>
      <c r="D72" s="2" t="s">
        <v>70</v>
      </c>
      <c r="E72" s="2" t="s">
        <v>509</v>
      </c>
      <c r="F72" s="4">
        <v>195040001455</v>
      </c>
      <c r="G72" s="2" t="s">
        <v>93</v>
      </c>
      <c r="H72" s="2" t="s">
        <v>12</v>
      </c>
      <c r="I72" s="3">
        <v>45863</v>
      </c>
      <c r="J72" s="2">
        <v>8114.86</v>
      </c>
      <c r="K72" s="2">
        <v>8114.86</v>
      </c>
      <c r="L72" s="2">
        <v>116</v>
      </c>
      <c r="M72" s="2"/>
      <c r="N72" s="2"/>
    </row>
    <row r="73" spans="1:14">
      <c r="A73" s="2">
        <v>8</v>
      </c>
      <c r="B73" s="2">
        <f t="shared" si="1"/>
        <v>19504</v>
      </c>
      <c r="C73" s="2" t="s">
        <v>70</v>
      </c>
      <c r="D73" s="2" t="s">
        <v>70</v>
      </c>
      <c r="E73" s="2" t="s">
        <v>509</v>
      </c>
      <c r="F73" s="4">
        <v>195041985114</v>
      </c>
      <c r="G73" s="2" t="s">
        <v>94</v>
      </c>
      <c r="H73" s="2" t="s">
        <v>10</v>
      </c>
      <c r="I73" s="3">
        <v>45955</v>
      </c>
      <c r="J73" s="2">
        <v>5085.5600000000004</v>
      </c>
      <c r="K73" s="2">
        <v>5085.5600000000004</v>
      </c>
      <c r="L73" s="2">
        <v>24</v>
      </c>
      <c r="M73" s="2"/>
      <c r="N73" s="2"/>
    </row>
    <row r="74" spans="1:14">
      <c r="A74" s="2">
        <v>8</v>
      </c>
      <c r="B74" s="2">
        <f t="shared" si="1"/>
        <v>19504</v>
      </c>
      <c r="C74" s="2" t="s">
        <v>70</v>
      </c>
      <c r="D74" s="2" t="s">
        <v>70</v>
      </c>
      <c r="E74" s="2" t="s">
        <v>509</v>
      </c>
      <c r="F74" s="4">
        <v>195041945228</v>
      </c>
      <c r="G74" s="2" t="s">
        <v>95</v>
      </c>
      <c r="H74" s="2" t="s">
        <v>10</v>
      </c>
      <c r="I74" s="3">
        <v>45745</v>
      </c>
      <c r="J74" s="2">
        <v>6263.91</v>
      </c>
      <c r="K74" s="2">
        <v>6783.91</v>
      </c>
      <c r="L74" s="2">
        <v>234</v>
      </c>
      <c r="M74" s="3">
        <v>45917</v>
      </c>
      <c r="N74" s="2"/>
    </row>
    <row r="75" spans="1:14">
      <c r="A75" s="2">
        <v>8</v>
      </c>
      <c r="B75" s="2">
        <f t="shared" si="1"/>
        <v>19504</v>
      </c>
      <c r="C75" s="2" t="s">
        <v>70</v>
      </c>
      <c r="D75" s="2" t="s">
        <v>70</v>
      </c>
      <c r="E75" s="2" t="s">
        <v>509</v>
      </c>
      <c r="F75" s="4">
        <v>195040022428</v>
      </c>
      <c r="G75" s="2" t="s">
        <v>96</v>
      </c>
      <c r="H75" s="2" t="s">
        <v>12</v>
      </c>
      <c r="I75" s="3">
        <v>45918</v>
      </c>
      <c r="J75" s="2">
        <v>7370.55</v>
      </c>
      <c r="K75" s="2">
        <v>13120.65</v>
      </c>
      <c r="L75" s="2">
        <v>61</v>
      </c>
      <c r="M75" s="2"/>
      <c r="N75" s="2"/>
    </row>
    <row r="76" spans="1:14">
      <c r="A76" s="2">
        <v>8</v>
      </c>
      <c r="B76" s="2">
        <f t="shared" si="1"/>
        <v>19504</v>
      </c>
      <c r="C76" s="2" t="s">
        <v>70</v>
      </c>
      <c r="D76" s="2" t="s">
        <v>70</v>
      </c>
      <c r="E76" s="2" t="s">
        <v>509</v>
      </c>
      <c r="F76" s="4">
        <v>195040017955</v>
      </c>
      <c r="G76" s="2" t="s">
        <v>97</v>
      </c>
      <c r="H76" s="2" t="s">
        <v>13</v>
      </c>
      <c r="I76" s="3">
        <v>45776</v>
      </c>
      <c r="J76" s="2">
        <v>10680.53</v>
      </c>
      <c r="K76" s="2">
        <v>12195.23</v>
      </c>
      <c r="L76" s="2">
        <v>203</v>
      </c>
      <c r="M76" s="2"/>
      <c r="N76" s="2"/>
    </row>
    <row r="77" spans="1:14">
      <c r="A77" s="2">
        <v>8</v>
      </c>
      <c r="B77" s="2">
        <f t="shared" si="1"/>
        <v>19504</v>
      </c>
      <c r="C77" s="2" t="s">
        <v>70</v>
      </c>
      <c r="D77" s="2" t="s">
        <v>70</v>
      </c>
      <c r="E77" s="2" t="s">
        <v>509</v>
      </c>
      <c r="F77" s="4">
        <v>195040017106</v>
      </c>
      <c r="G77" s="2" t="s">
        <v>98</v>
      </c>
      <c r="H77" s="2" t="s">
        <v>10</v>
      </c>
      <c r="I77" s="3">
        <v>45619</v>
      </c>
      <c r="J77" s="2">
        <v>5753.97</v>
      </c>
      <c r="K77" s="2">
        <v>5753.97</v>
      </c>
      <c r="L77" s="2">
        <v>360</v>
      </c>
      <c r="M77" s="3">
        <v>45720</v>
      </c>
      <c r="N77" s="2"/>
    </row>
    <row r="78" spans="1:14">
      <c r="A78" s="2">
        <v>8</v>
      </c>
      <c r="B78" s="2">
        <f t="shared" si="1"/>
        <v>19504</v>
      </c>
      <c r="C78" s="2" t="s">
        <v>70</v>
      </c>
      <c r="D78" s="2" t="s">
        <v>70</v>
      </c>
      <c r="E78" s="2" t="s">
        <v>509</v>
      </c>
      <c r="F78" s="4">
        <v>195040046840</v>
      </c>
      <c r="G78" s="2" t="s">
        <v>99</v>
      </c>
      <c r="H78" s="2" t="s">
        <v>24</v>
      </c>
      <c r="I78" s="3">
        <v>45380</v>
      </c>
      <c r="J78" s="2">
        <v>6056.53</v>
      </c>
      <c r="K78" s="2">
        <v>6056.53</v>
      </c>
      <c r="L78" s="2">
        <v>599</v>
      </c>
      <c r="M78" s="3">
        <v>45635</v>
      </c>
      <c r="N78" s="2"/>
    </row>
    <row r="79" spans="1:14">
      <c r="A79" s="2">
        <v>8</v>
      </c>
      <c r="B79" s="2">
        <f t="shared" si="1"/>
        <v>19504</v>
      </c>
      <c r="C79" s="2" t="s">
        <v>70</v>
      </c>
      <c r="D79" s="2" t="s">
        <v>70</v>
      </c>
      <c r="E79" s="2" t="s">
        <v>509</v>
      </c>
      <c r="F79" s="4">
        <v>195042252846</v>
      </c>
      <c r="G79" s="2" t="s">
        <v>100</v>
      </c>
      <c r="H79" s="2" t="s">
        <v>13</v>
      </c>
      <c r="I79" s="3">
        <v>44832</v>
      </c>
      <c r="J79" s="2">
        <v>16651.509999999998</v>
      </c>
      <c r="K79" s="2">
        <v>16651.509999999998</v>
      </c>
      <c r="L79" s="2">
        <v>1147</v>
      </c>
      <c r="M79" s="3">
        <v>45559</v>
      </c>
      <c r="N79" s="2"/>
    </row>
    <row r="80" spans="1:14">
      <c r="A80" s="2">
        <v>8</v>
      </c>
      <c r="B80" s="2">
        <f t="shared" si="1"/>
        <v>19504</v>
      </c>
      <c r="C80" s="2" t="s">
        <v>70</v>
      </c>
      <c r="D80" s="2" t="s">
        <v>70</v>
      </c>
      <c r="E80" s="2" t="s">
        <v>509</v>
      </c>
      <c r="F80" s="4">
        <v>195041946402</v>
      </c>
      <c r="G80" s="2" t="s">
        <v>101</v>
      </c>
      <c r="H80" s="2" t="s">
        <v>12</v>
      </c>
      <c r="I80" s="3">
        <v>45947</v>
      </c>
      <c r="J80" s="2">
        <v>5446.7</v>
      </c>
      <c r="K80" s="2">
        <v>5446.7</v>
      </c>
      <c r="L80" s="2">
        <v>32</v>
      </c>
      <c r="M80" s="2"/>
      <c r="N80" s="2"/>
    </row>
    <row r="81" spans="1:14">
      <c r="A81" s="2">
        <v>8</v>
      </c>
      <c r="B81" s="2">
        <f t="shared" si="1"/>
        <v>19504</v>
      </c>
      <c r="C81" s="2" t="s">
        <v>70</v>
      </c>
      <c r="D81" s="2" t="s">
        <v>70</v>
      </c>
      <c r="E81" s="2" t="s">
        <v>509</v>
      </c>
      <c r="F81" s="4">
        <v>195040004071</v>
      </c>
      <c r="G81" s="2" t="s">
        <v>102</v>
      </c>
      <c r="H81" s="2" t="s">
        <v>13</v>
      </c>
      <c r="I81" s="3">
        <v>44620</v>
      </c>
      <c r="J81" s="2">
        <v>7078.77</v>
      </c>
      <c r="K81" s="2">
        <v>7078.77</v>
      </c>
      <c r="L81" s="2">
        <v>1359</v>
      </c>
      <c r="M81" s="3">
        <v>45916</v>
      </c>
      <c r="N81" s="2"/>
    </row>
    <row r="82" spans="1:14">
      <c r="A82" s="2">
        <v>8</v>
      </c>
      <c r="B82" s="2">
        <f t="shared" si="1"/>
        <v>19515</v>
      </c>
      <c r="C82" s="2" t="s">
        <v>70</v>
      </c>
      <c r="D82" s="2" t="s">
        <v>391</v>
      </c>
      <c r="E82" s="2" t="s">
        <v>513</v>
      </c>
      <c r="F82" s="4">
        <v>195150002147</v>
      </c>
      <c r="G82" s="2" t="s">
        <v>103</v>
      </c>
      <c r="H82" s="2" t="s">
        <v>13</v>
      </c>
      <c r="I82" s="3">
        <v>45860</v>
      </c>
      <c r="J82" s="2">
        <v>10883.18</v>
      </c>
      <c r="K82" s="2">
        <v>14718.82</v>
      </c>
      <c r="L82" s="2">
        <v>119</v>
      </c>
      <c r="M82" s="2"/>
      <c r="N82" s="2"/>
    </row>
    <row r="83" spans="1:14">
      <c r="A83" s="2">
        <v>8</v>
      </c>
      <c r="B83" s="2">
        <f t="shared" si="1"/>
        <v>19514</v>
      </c>
      <c r="C83" s="2" t="s">
        <v>70</v>
      </c>
      <c r="D83" s="2" t="s">
        <v>392</v>
      </c>
      <c r="E83" s="2" t="s">
        <v>508</v>
      </c>
      <c r="F83" s="4">
        <v>195141951331</v>
      </c>
      <c r="G83" s="2" t="s">
        <v>104</v>
      </c>
      <c r="H83" s="2" t="s">
        <v>13</v>
      </c>
      <c r="I83" s="3">
        <v>45776</v>
      </c>
      <c r="J83" s="2">
        <v>7437.85</v>
      </c>
      <c r="K83" s="2">
        <v>7437.85</v>
      </c>
      <c r="L83" s="2">
        <v>203</v>
      </c>
      <c r="M83" s="2"/>
      <c r="N83" s="2"/>
    </row>
    <row r="84" spans="1:14">
      <c r="A84" s="2">
        <v>8</v>
      </c>
      <c r="B84" s="2">
        <f t="shared" si="1"/>
        <v>19514</v>
      </c>
      <c r="C84" s="2" t="s">
        <v>70</v>
      </c>
      <c r="D84" s="2" t="s">
        <v>392</v>
      </c>
      <c r="E84" s="2" t="s">
        <v>508</v>
      </c>
      <c r="F84" s="4">
        <v>195140002416</v>
      </c>
      <c r="G84" s="2" t="s">
        <v>105</v>
      </c>
      <c r="H84" s="2" t="s">
        <v>24</v>
      </c>
      <c r="I84" s="3">
        <v>45738</v>
      </c>
      <c r="J84" s="2">
        <v>13636.16</v>
      </c>
      <c r="K84" s="2">
        <v>13636.16</v>
      </c>
      <c r="L84" s="2">
        <v>241</v>
      </c>
      <c r="M84" s="3">
        <v>45917</v>
      </c>
      <c r="N84" s="2"/>
    </row>
    <row r="85" spans="1:14">
      <c r="A85" s="2">
        <v>8</v>
      </c>
      <c r="B85" s="2">
        <f t="shared" si="1"/>
        <v>19514</v>
      </c>
      <c r="C85" s="2" t="s">
        <v>70</v>
      </c>
      <c r="D85" s="2" t="s">
        <v>392</v>
      </c>
      <c r="E85" s="2" t="s">
        <v>508</v>
      </c>
      <c r="F85" s="4">
        <v>195140003064</v>
      </c>
      <c r="G85" s="2" t="s">
        <v>106</v>
      </c>
      <c r="H85" s="2" t="s">
        <v>10</v>
      </c>
      <c r="I85" s="3">
        <v>45581</v>
      </c>
      <c r="J85" s="2">
        <v>6742.43</v>
      </c>
      <c r="K85" s="2">
        <v>6742.43</v>
      </c>
      <c r="L85" s="2">
        <v>398</v>
      </c>
      <c r="M85" s="3">
        <v>45721</v>
      </c>
      <c r="N85" s="2"/>
    </row>
    <row r="86" spans="1:14">
      <c r="A86" s="2">
        <v>8</v>
      </c>
      <c r="B86" s="2">
        <f t="shared" si="1"/>
        <v>19515</v>
      </c>
      <c r="C86" s="2" t="s">
        <v>70</v>
      </c>
      <c r="D86" s="2" t="s">
        <v>391</v>
      </c>
      <c r="E86" s="2" t="s">
        <v>513</v>
      </c>
      <c r="F86" s="4">
        <v>195150037056</v>
      </c>
      <c r="G86" s="2" t="s">
        <v>107</v>
      </c>
      <c r="H86" s="2" t="s">
        <v>12</v>
      </c>
      <c r="I86" s="3">
        <v>45740</v>
      </c>
      <c r="J86" s="2">
        <v>7496.97</v>
      </c>
      <c r="K86" s="2">
        <v>7730.83</v>
      </c>
      <c r="L86" s="2">
        <v>239</v>
      </c>
      <c r="M86" s="3">
        <v>45861</v>
      </c>
      <c r="N86" s="2"/>
    </row>
    <row r="87" spans="1:14">
      <c r="A87" s="2">
        <v>8</v>
      </c>
      <c r="B87" s="2">
        <f t="shared" si="1"/>
        <v>19690</v>
      </c>
      <c r="C87" s="2" t="s">
        <v>70</v>
      </c>
      <c r="D87" s="2" t="s">
        <v>393</v>
      </c>
      <c r="E87" s="2" t="s">
        <v>513</v>
      </c>
      <c r="F87" s="4">
        <v>196900001021</v>
      </c>
      <c r="G87" s="2" t="s">
        <v>108</v>
      </c>
      <c r="H87" s="2" t="s">
        <v>13</v>
      </c>
      <c r="I87" s="3">
        <v>44887</v>
      </c>
      <c r="J87" s="2">
        <v>17328.939999999999</v>
      </c>
      <c r="K87" s="2">
        <v>17328.939999999999</v>
      </c>
      <c r="L87" s="2">
        <v>1092</v>
      </c>
      <c r="M87" s="3">
        <v>45559</v>
      </c>
      <c r="N87" s="2"/>
    </row>
    <row r="88" spans="1:14">
      <c r="A88" s="2">
        <v>8</v>
      </c>
      <c r="B88" s="2">
        <f t="shared" si="1"/>
        <v>19505</v>
      </c>
      <c r="C88" s="2" t="s">
        <v>70</v>
      </c>
      <c r="D88" s="2" t="s">
        <v>382</v>
      </c>
      <c r="E88" s="2" t="s">
        <v>508</v>
      </c>
      <c r="F88" s="4">
        <v>195050023660</v>
      </c>
      <c r="G88" s="2" t="s">
        <v>109</v>
      </c>
      <c r="H88" s="2" t="s">
        <v>12</v>
      </c>
      <c r="I88" s="3">
        <v>45736</v>
      </c>
      <c r="J88" s="2">
        <v>8686.51</v>
      </c>
      <c r="K88" s="2">
        <v>9007.1299999999992</v>
      </c>
      <c r="L88" s="2">
        <v>243</v>
      </c>
      <c r="M88" s="2"/>
      <c r="N88" s="2"/>
    </row>
    <row r="89" spans="1:14">
      <c r="A89" s="2">
        <v>8</v>
      </c>
      <c r="B89" s="2">
        <f t="shared" si="1"/>
        <v>19549</v>
      </c>
      <c r="C89" s="2" t="s">
        <v>70</v>
      </c>
      <c r="D89" s="2" t="s">
        <v>394</v>
      </c>
      <c r="E89" s="2" t="s">
        <v>510</v>
      </c>
      <c r="F89" s="4">
        <v>195490001463</v>
      </c>
      <c r="G89" s="2" t="s">
        <v>110</v>
      </c>
      <c r="H89" s="2" t="s">
        <v>10</v>
      </c>
      <c r="I89" s="3">
        <v>45724</v>
      </c>
      <c r="J89" s="2">
        <v>8511.61</v>
      </c>
      <c r="K89" s="2">
        <v>8511.61</v>
      </c>
      <c r="L89" s="2">
        <v>255</v>
      </c>
      <c r="M89" s="3">
        <v>45959</v>
      </c>
      <c r="N89" s="2"/>
    </row>
    <row r="90" spans="1:14">
      <c r="A90" s="2">
        <v>8</v>
      </c>
      <c r="B90" s="2">
        <f t="shared" si="1"/>
        <v>19504</v>
      </c>
      <c r="C90" s="2" t="s">
        <v>70</v>
      </c>
      <c r="D90" s="2" t="s">
        <v>70</v>
      </c>
      <c r="E90" s="2" t="s">
        <v>509</v>
      </c>
      <c r="F90" s="4">
        <v>195041984011</v>
      </c>
      <c r="G90" s="2" t="s">
        <v>111</v>
      </c>
      <c r="H90" s="2" t="s">
        <v>24</v>
      </c>
      <c r="I90" s="3">
        <v>45942</v>
      </c>
      <c r="J90" s="2">
        <v>6205.72</v>
      </c>
      <c r="K90" s="2">
        <v>6205.72</v>
      </c>
      <c r="L90" s="2">
        <v>37</v>
      </c>
      <c r="M90" s="2"/>
      <c r="N90" s="2"/>
    </row>
    <row r="91" spans="1:14">
      <c r="A91" s="2">
        <v>8</v>
      </c>
      <c r="B91" s="2">
        <f t="shared" si="1"/>
        <v>19549</v>
      </c>
      <c r="C91" s="2" t="s">
        <v>70</v>
      </c>
      <c r="D91" s="2" t="s">
        <v>394</v>
      </c>
      <c r="E91" s="2" t="s">
        <v>510</v>
      </c>
      <c r="F91" s="4">
        <v>195491950256</v>
      </c>
      <c r="G91" s="2" t="s">
        <v>112</v>
      </c>
      <c r="H91" s="2" t="s">
        <v>13</v>
      </c>
      <c r="I91" s="3">
        <v>45776</v>
      </c>
      <c r="J91" s="2">
        <v>9122.94</v>
      </c>
      <c r="K91" s="2">
        <v>9122.94</v>
      </c>
      <c r="L91" s="2">
        <v>203</v>
      </c>
      <c r="M91" s="2"/>
      <c r="N91" s="2"/>
    </row>
    <row r="92" spans="1:14">
      <c r="A92" s="2">
        <v>8</v>
      </c>
      <c r="B92" s="2">
        <f t="shared" si="1"/>
        <v>19549</v>
      </c>
      <c r="C92" s="2" t="s">
        <v>70</v>
      </c>
      <c r="D92" s="2" t="s">
        <v>394</v>
      </c>
      <c r="E92" s="2" t="s">
        <v>510</v>
      </c>
      <c r="F92" s="4">
        <v>195491950965</v>
      </c>
      <c r="G92" s="2" t="s">
        <v>113</v>
      </c>
      <c r="H92" s="2" t="s">
        <v>13</v>
      </c>
      <c r="I92" s="3">
        <v>45776</v>
      </c>
      <c r="J92" s="2">
        <v>10069.52</v>
      </c>
      <c r="K92" s="2">
        <v>10069.52</v>
      </c>
      <c r="L92" s="2">
        <v>203</v>
      </c>
      <c r="M92" s="2"/>
      <c r="N92" s="2"/>
    </row>
    <row r="93" spans="1:14">
      <c r="A93" s="2">
        <v>8</v>
      </c>
      <c r="B93" s="2">
        <f t="shared" si="1"/>
        <v>19521</v>
      </c>
      <c r="C93" s="2" t="s">
        <v>70</v>
      </c>
      <c r="D93" s="2" t="s">
        <v>383</v>
      </c>
      <c r="E93" s="2" t="s">
        <v>510</v>
      </c>
      <c r="F93" s="4">
        <v>195210043557</v>
      </c>
      <c r="G93" s="2" t="s">
        <v>114</v>
      </c>
      <c r="H93" s="2" t="s">
        <v>13</v>
      </c>
      <c r="I93" s="3">
        <v>45776</v>
      </c>
      <c r="J93" s="2">
        <v>8382.15</v>
      </c>
      <c r="K93" s="2">
        <v>8837.61</v>
      </c>
      <c r="L93" s="2">
        <v>203</v>
      </c>
      <c r="M93" s="2"/>
      <c r="N93" s="2"/>
    </row>
    <row r="94" spans="1:14">
      <c r="A94" s="2">
        <v>8</v>
      </c>
      <c r="B94" s="2">
        <f t="shared" si="1"/>
        <v>19527</v>
      </c>
      <c r="C94" s="2" t="s">
        <v>70</v>
      </c>
      <c r="D94" s="2" t="s">
        <v>395</v>
      </c>
      <c r="E94" s="2" t="s">
        <v>500</v>
      </c>
      <c r="F94" s="4">
        <v>195271924319</v>
      </c>
      <c r="G94" s="2" t="s">
        <v>115</v>
      </c>
      <c r="H94" s="2" t="s">
        <v>12</v>
      </c>
      <c r="I94" s="3">
        <v>45612</v>
      </c>
      <c r="J94" s="2">
        <v>8602.34</v>
      </c>
      <c r="K94" s="2">
        <v>8602.34</v>
      </c>
      <c r="L94" s="2">
        <v>367</v>
      </c>
      <c r="M94" s="3">
        <v>45930</v>
      </c>
      <c r="N94" s="2"/>
    </row>
    <row r="95" spans="1:14">
      <c r="A95" s="2">
        <v>8</v>
      </c>
      <c r="B95" s="2">
        <f t="shared" si="1"/>
        <v>19527</v>
      </c>
      <c r="C95" s="2" t="s">
        <v>70</v>
      </c>
      <c r="D95" s="2" t="s">
        <v>395</v>
      </c>
      <c r="E95" s="2" t="s">
        <v>500</v>
      </c>
      <c r="F95" s="4">
        <v>195270022222</v>
      </c>
      <c r="G95" s="2" t="s">
        <v>116</v>
      </c>
      <c r="H95" s="2" t="s">
        <v>10</v>
      </c>
      <c r="I95" s="3">
        <v>45722</v>
      </c>
      <c r="J95" s="2">
        <v>8060.12</v>
      </c>
      <c r="K95" s="2">
        <v>8060.12</v>
      </c>
      <c r="L95" s="2">
        <v>257</v>
      </c>
      <c r="M95" s="2"/>
      <c r="N95" s="2"/>
    </row>
    <row r="96" spans="1:14">
      <c r="A96" s="2">
        <v>8</v>
      </c>
      <c r="B96" s="2">
        <f t="shared" si="1"/>
        <v>19611</v>
      </c>
      <c r="C96" s="2" t="s">
        <v>70</v>
      </c>
      <c r="D96" s="2" t="s">
        <v>396</v>
      </c>
      <c r="E96" s="2" t="s">
        <v>512</v>
      </c>
      <c r="F96" s="4">
        <v>196110000709</v>
      </c>
      <c r="G96" s="2" t="s">
        <v>117</v>
      </c>
      <c r="H96" s="2" t="s">
        <v>13</v>
      </c>
      <c r="I96" s="3">
        <v>44995</v>
      </c>
      <c r="J96" s="2">
        <v>20313.03</v>
      </c>
      <c r="K96" s="2">
        <v>20313.03</v>
      </c>
      <c r="L96" s="2">
        <v>984</v>
      </c>
      <c r="M96" s="3">
        <v>45744</v>
      </c>
      <c r="N96" s="2"/>
    </row>
    <row r="97" spans="1:14">
      <c r="A97" s="2">
        <v>8</v>
      </c>
      <c r="B97" s="2">
        <f t="shared" si="1"/>
        <v>19504</v>
      </c>
      <c r="C97" s="2" t="s">
        <v>70</v>
      </c>
      <c r="D97" s="2" t="s">
        <v>70</v>
      </c>
      <c r="E97" s="2" t="s">
        <v>509</v>
      </c>
      <c r="F97" s="4">
        <v>195041984924</v>
      </c>
      <c r="G97" s="2" t="s">
        <v>118</v>
      </c>
      <c r="H97" s="2" t="s">
        <v>12</v>
      </c>
      <c r="I97" s="3">
        <v>45741</v>
      </c>
      <c r="J97" s="2">
        <v>9542.43</v>
      </c>
      <c r="K97" s="2">
        <v>9542.43</v>
      </c>
      <c r="L97" s="2">
        <v>238</v>
      </c>
      <c r="M97" s="3">
        <v>45860</v>
      </c>
      <c r="N97" s="2"/>
    </row>
    <row r="98" spans="1:14">
      <c r="A98" s="2">
        <v>8</v>
      </c>
      <c r="B98" s="2">
        <f t="shared" si="1"/>
        <v>19521</v>
      </c>
      <c r="C98" s="2" t="s">
        <v>70</v>
      </c>
      <c r="D98" s="2" t="s">
        <v>383</v>
      </c>
      <c r="E98" s="2" t="s">
        <v>510</v>
      </c>
      <c r="F98" s="4">
        <v>195211931065</v>
      </c>
      <c r="G98" s="2" t="s">
        <v>75</v>
      </c>
      <c r="H98" s="2" t="s">
        <v>13</v>
      </c>
      <c r="I98" s="3">
        <v>45742</v>
      </c>
      <c r="J98" s="2">
        <v>7775.15</v>
      </c>
      <c r="K98" s="2">
        <v>8929.49</v>
      </c>
      <c r="L98" s="2">
        <v>237</v>
      </c>
      <c r="M98" s="2"/>
      <c r="N98" s="2"/>
    </row>
    <row r="99" spans="1:14">
      <c r="A99" s="2">
        <v>8</v>
      </c>
      <c r="B99" s="2">
        <f t="shared" si="1"/>
        <v>19504</v>
      </c>
      <c r="C99" s="2" t="s">
        <v>70</v>
      </c>
      <c r="D99" s="2" t="s">
        <v>70</v>
      </c>
      <c r="E99" s="2" t="s">
        <v>509</v>
      </c>
      <c r="F99" s="4">
        <v>195040022479</v>
      </c>
      <c r="G99" s="2" t="s">
        <v>119</v>
      </c>
      <c r="H99" s="2" t="s">
        <v>12</v>
      </c>
      <c r="I99" s="3">
        <v>45790</v>
      </c>
      <c r="J99" s="2">
        <v>7884.98</v>
      </c>
      <c r="K99" s="2">
        <v>15444.58</v>
      </c>
      <c r="L99" s="2">
        <v>189</v>
      </c>
      <c r="M99" s="3">
        <v>45959</v>
      </c>
      <c r="N99" s="2"/>
    </row>
    <row r="100" spans="1:14">
      <c r="A100" s="2">
        <v>8</v>
      </c>
      <c r="B100" s="2">
        <f t="shared" si="1"/>
        <v>19504</v>
      </c>
      <c r="C100" s="2" t="s">
        <v>70</v>
      </c>
      <c r="D100" s="2" t="s">
        <v>70</v>
      </c>
      <c r="E100" s="2" t="s">
        <v>509</v>
      </c>
      <c r="F100" s="4">
        <v>195041985165</v>
      </c>
      <c r="G100" s="2" t="s">
        <v>120</v>
      </c>
      <c r="H100" s="2" t="s">
        <v>12</v>
      </c>
      <c r="I100" s="3">
        <v>45895</v>
      </c>
      <c r="J100" s="2">
        <v>19492.09</v>
      </c>
      <c r="K100" s="2">
        <v>19492.09</v>
      </c>
      <c r="L100" s="2">
        <v>84</v>
      </c>
      <c r="M100" s="2"/>
      <c r="N100" s="2"/>
    </row>
    <row r="101" spans="1:14">
      <c r="A101" s="2">
        <v>8</v>
      </c>
      <c r="B101" s="2">
        <f t="shared" si="1"/>
        <v>19504</v>
      </c>
      <c r="C101" s="2" t="s">
        <v>70</v>
      </c>
      <c r="D101" s="2" t="s">
        <v>70</v>
      </c>
      <c r="E101" s="2" t="s">
        <v>509</v>
      </c>
      <c r="F101" s="4">
        <v>195041985025</v>
      </c>
      <c r="G101" s="2" t="s">
        <v>121</v>
      </c>
      <c r="H101" s="2" t="s">
        <v>10</v>
      </c>
      <c r="I101" s="3">
        <v>45926</v>
      </c>
      <c r="J101" s="2">
        <v>5303.86</v>
      </c>
      <c r="K101" s="2">
        <v>5303.86</v>
      </c>
      <c r="L101" s="2">
        <v>53</v>
      </c>
      <c r="M101" s="2"/>
      <c r="N101" s="2"/>
    </row>
    <row r="102" spans="1:14">
      <c r="A102" s="2">
        <v>8</v>
      </c>
      <c r="B102" s="2">
        <f t="shared" si="1"/>
        <v>19504</v>
      </c>
      <c r="C102" s="2" t="s">
        <v>70</v>
      </c>
      <c r="D102" s="2" t="s">
        <v>70</v>
      </c>
      <c r="E102" s="2" t="s">
        <v>509</v>
      </c>
      <c r="F102" s="4">
        <v>195040019524</v>
      </c>
      <c r="G102" s="2" t="s">
        <v>122</v>
      </c>
      <c r="H102" s="2" t="s">
        <v>12</v>
      </c>
      <c r="I102" s="3">
        <v>45372</v>
      </c>
      <c r="J102" s="2">
        <v>5426.81</v>
      </c>
      <c r="K102" s="2">
        <v>5556.81</v>
      </c>
      <c r="L102" s="2">
        <v>607</v>
      </c>
      <c r="M102" s="3">
        <v>45635</v>
      </c>
      <c r="N102" s="2"/>
    </row>
    <row r="103" spans="1:14">
      <c r="A103" s="2">
        <v>8</v>
      </c>
      <c r="B103" s="2">
        <f t="shared" si="1"/>
        <v>19511</v>
      </c>
      <c r="C103" s="2" t="s">
        <v>70</v>
      </c>
      <c r="D103" s="2" t="s">
        <v>385</v>
      </c>
      <c r="E103" s="2" t="s">
        <v>510</v>
      </c>
      <c r="F103" s="4">
        <v>195110022200</v>
      </c>
      <c r="G103" s="2" t="s">
        <v>123</v>
      </c>
      <c r="H103" s="2" t="s">
        <v>24</v>
      </c>
      <c r="I103" s="3">
        <v>45911</v>
      </c>
      <c r="J103" s="2">
        <v>11257.77</v>
      </c>
      <c r="K103" s="2">
        <v>11257.77</v>
      </c>
      <c r="L103" s="2">
        <v>68</v>
      </c>
      <c r="M103" s="2"/>
      <c r="N103" s="2"/>
    </row>
    <row r="104" spans="1:14">
      <c r="A104" s="2">
        <v>0</v>
      </c>
      <c r="B104" s="2">
        <f t="shared" si="1"/>
        <v>19529</v>
      </c>
      <c r="C104" s="2" t="s">
        <v>124</v>
      </c>
      <c r="D104" s="2" t="s">
        <v>397</v>
      </c>
      <c r="E104" s="2" t="s">
        <v>514</v>
      </c>
      <c r="F104" s="4">
        <v>195290001582</v>
      </c>
      <c r="G104" s="2" t="s">
        <v>125</v>
      </c>
      <c r="H104" s="2" t="s">
        <v>11</v>
      </c>
      <c r="I104" s="3">
        <v>45849</v>
      </c>
      <c r="J104" s="2">
        <v>6669.55</v>
      </c>
      <c r="K104" s="2">
        <v>12534.03</v>
      </c>
      <c r="L104" s="2">
        <v>130</v>
      </c>
      <c r="M104" s="2"/>
      <c r="N104" s="2"/>
    </row>
    <row r="105" spans="1:14">
      <c r="A105" s="2">
        <v>0</v>
      </c>
      <c r="B105" s="2">
        <f t="shared" si="1"/>
        <v>19678</v>
      </c>
      <c r="C105" s="2" t="s">
        <v>124</v>
      </c>
      <c r="D105" s="2" t="s">
        <v>379</v>
      </c>
      <c r="E105" s="2" t="s">
        <v>505</v>
      </c>
      <c r="F105" s="4">
        <v>196781942733</v>
      </c>
      <c r="G105" s="2" t="s">
        <v>126</v>
      </c>
      <c r="H105" s="2" t="s">
        <v>10</v>
      </c>
      <c r="I105" s="3">
        <v>45888</v>
      </c>
      <c r="J105" s="2">
        <v>30909.73</v>
      </c>
      <c r="K105" s="2">
        <v>59030.76</v>
      </c>
      <c r="L105" s="2">
        <v>91</v>
      </c>
      <c r="M105" s="2"/>
      <c r="N105" s="2"/>
    </row>
    <row r="106" spans="1:14">
      <c r="A106" s="2">
        <v>0</v>
      </c>
      <c r="B106" s="2">
        <f t="shared" si="1"/>
        <v>19501</v>
      </c>
      <c r="C106" s="2" t="s">
        <v>124</v>
      </c>
      <c r="D106" s="2" t="s">
        <v>124</v>
      </c>
      <c r="E106" s="2" t="s">
        <v>515</v>
      </c>
      <c r="F106" s="4">
        <v>195011945274</v>
      </c>
      <c r="G106" s="2" t="s">
        <v>127</v>
      </c>
      <c r="H106" s="2" t="s">
        <v>10</v>
      </c>
      <c r="I106" s="3">
        <v>45918</v>
      </c>
      <c r="J106" s="2">
        <v>16861.57</v>
      </c>
      <c r="K106" s="2">
        <v>36047.760000000002</v>
      </c>
      <c r="L106" s="2">
        <v>61</v>
      </c>
      <c r="M106" s="2"/>
      <c r="N106" s="2"/>
    </row>
    <row r="107" spans="1:14">
      <c r="A107" s="2">
        <v>0</v>
      </c>
      <c r="B107" s="2">
        <f t="shared" si="1"/>
        <v>19562</v>
      </c>
      <c r="C107" s="2" t="s">
        <v>124</v>
      </c>
      <c r="D107" s="2" t="s">
        <v>398</v>
      </c>
      <c r="E107" s="2" t="s">
        <v>516</v>
      </c>
      <c r="F107" s="4">
        <v>195620000049</v>
      </c>
      <c r="G107" s="2" t="s">
        <v>128</v>
      </c>
      <c r="H107" s="2" t="s">
        <v>11</v>
      </c>
      <c r="I107" s="3">
        <v>45930</v>
      </c>
      <c r="J107" s="2">
        <v>15169.46</v>
      </c>
      <c r="K107" s="2">
        <v>28750.080000000002</v>
      </c>
      <c r="L107" s="2">
        <v>49</v>
      </c>
      <c r="M107" s="2"/>
      <c r="N107" s="2"/>
    </row>
    <row r="108" spans="1:14">
      <c r="A108" s="2">
        <v>0</v>
      </c>
      <c r="B108" s="2">
        <f t="shared" si="1"/>
        <v>19562</v>
      </c>
      <c r="C108" s="2" t="s">
        <v>124</v>
      </c>
      <c r="D108" s="2" t="s">
        <v>398</v>
      </c>
      <c r="E108" s="2" t="s">
        <v>516</v>
      </c>
      <c r="F108" s="4">
        <v>195620001304</v>
      </c>
      <c r="G108" s="2" t="s">
        <v>129</v>
      </c>
      <c r="H108" s="2" t="s">
        <v>11</v>
      </c>
      <c r="I108" s="3">
        <v>45915</v>
      </c>
      <c r="J108" s="2">
        <v>29359.89</v>
      </c>
      <c r="K108" s="2">
        <v>29359.89</v>
      </c>
      <c r="L108" s="2">
        <v>64</v>
      </c>
      <c r="M108" s="2"/>
      <c r="N108" s="2"/>
    </row>
    <row r="109" spans="1:14">
      <c r="A109" s="2">
        <v>0</v>
      </c>
      <c r="B109" s="2">
        <f t="shared" si="1"/>
        <v>19691</v>
      </c>
      <c r="C109" s="2" t="s">
        <v>124</v>
      </c>
      <c r="D109" s="2" t="s">
        <v>399</v>
      </c>
      <c r="E109" s="2" t="s">
        <v>516</v>
      </c>
      <c r="F109" s="4">
        <v>196910001282</v>
      </c>
      <c r="G109" s="2" t="s">
        <v>130</v>
      </c>
      <c r="H109" s="2" t="s">
        <v>11</v>
      </c>
      <c r="I109" s="3">
        <v>45589</v>
      </c>
      <c r="J109" s="2">
        <v>44785.06</v>
      </c>
      <c r="K109" s="2">
        <v>52385.06</v>
      </c>
      <c r="L109" s="2">
        <v>390</v>
      </c>
      <c r="M109" s="3">
        <v>45710</v>
      </c>
      <c r="N109" s="2"/>
    </row>
    <row r="110" spans="1:14">
      <c r="A110" s="2">
        <v>0</v>
      </c>
      <c r="B110" s="2">
        <f t="shared" si="1"/>
        <v>19663</v>
      </c>
      <c r="C110" s="2" t="s">
        <v>124</v>
      </c>
      <c r="D110" s="2" t="s">
        <v>400</v>
      </c>
      <c r="E110" s="2" t="s">
        <v>517</v>
      </c>
      <c r="F110" s="4">
        <v>196631903781</v>
      </c>
      <c r="G110" s="2" t="s">
        <v>131</v>
      </c>
      <c r="H110" s="2" t="s">
        <v>11</v>
      </c>
      <c r="I110" s="3">
        <v>45741</v>
      </c>
      <c r="J110" s="2">
        <v>11969.61</v>
      </c>
      <c r="K110" s="2">
        <v>14452.69</v>
      </c>
      <c r="L110" s="2">
        <v>238</v>
      </c>
      <c r="M110" s="2"/>
      <c r="N110" s="2"/>
    </row>
    <row r="111" spans="1:14">
      <c r="A111" s="2">
        <v>0</v>
      </c>
      <c r="B111" s="2">
        <f t="shared" si="1"/>
        <v>19501</v>
      </c>
      <c r="C111" s="2" t="s">
        <v>124</v>
      </c>
      <c r="D111" s="2" t="s">
        <v>124</v>
      </c>
      <c r="E111" s="2" t="s">
        <v>515</v>
      </c>
      <c r="F111" s="4">
        <v>195010000136</v>
      </c>
      <c r="G111" s="2" t="s">
        <v>132</v>
      </c>
      <c r="H111" s="2" t="s">
        <v>13</v>
      </c>
      <c r="I111" s="3">
        <v>45971</v>
      </c>
      <c r="J111" s="2">
        <v>18800.36</v>
      </c>
      <c r="K111" s="2">
        <v>35068.25</v>
      </c>
      <c r="L111" s="2">
        <v>8</v>
      </c>
      <c r="M111" s="2"/>
      <c r="N111" s="2"/>
    </row>
    <row r="112" spans="1:14">
      <c r="A112" s="2">
        <v>0</v>
      </c>
      <c r="B112" s="2">
        <f t="shared" si="1"/>
        <v>19501</v>
      </c>
      <c r="C112" s="2" t="s">
        <v>124</v>
      </c>
      <c r="D112" s="2" t="s">
        <v>124</v>
      </c>
      <c r="E112" s="2" t="s">
        <v>515</v>
      </c>
      <c r="F112" s="4">
        <v>195010002732</v>
      </c>
      <c r="G112" s="2" t="s">
        <v>133</v>
      </c>
      <c r="H112" s="2" t="s">
        <v>13</v>
      </c>
      <c r="I112" s="3">
        <v>45898</v>
      </c>
      <c r="J112" s="2">
        <v>261195.83</v>
      </c>
      <c r="K112" s="2">
        <v>290933.92</v>
      </c>
      <c r="L112" s="2">
        <v>81</v>
      </c>
      <c r="M112" s="2"/>
      <c r="N112" s="2"/>
    </row>
    <row r="113" spans="1:14">
      <c r="A113" s="2">
        <v>0</v>
      </c>
      <c r="B113" s="2">
        <f t="shared" si="1"/>
        <v>19632</v>
      </c>
      <c r="C113" s="2" t="s">
        <v>230</v>
      </c>
      <c r="D113" s="2" t="s">
        <v>401</v>
      </c>
      <c r="E113" s="2" t="s">
        <v>518</v>
      </c>
      <c r="F113" s="4">
        <v>196320109088</v>
      </c>
      <c r="G113" s="2" t="s">
        <v>134</v>
      </c>
      <c r="H113" s="2" t="s">
        <v>11</v>
      </c>
      <c r="I113" s="3">
        <v>45524</v>
      </c>
      <c r="J113" s="2">
        <v>7808.85</v>
      </c>
      <c r="K113" s="2">
        <v>7808.85</v>
      </c>
      <c r="L113" s="2">
        <v>455</v>
      </c>
      <c r="M113" s="3">
        <v>45797</v>
      </c>
      <c r="N113" s="2"/>
    </row>
    <row r="114" spans="1:14">
      <c r="A114" s="2">
        <v>0</v>
      </c>
      <c r="B114" s="2">
        <f t="shared" si="1"/>
        <v>19578</v>
      </c>
      <c r="C114" s="2" t="s">
        <v>124</v>
      </c>
      <c r="D114" s="2" t="s">
        <v>402</v>
      </c>
      <c r="E114" s="2" t="s">
        <v>519</v>
      </c>
      <c r="F114" s="4">
        <v>195780000614</v>
      </c>
      <c r="G114" s="2" t="s">
        <v>135</v>
      </c>
      <c r="H114" s="2" t="s">
        <v>11</v>
      </c>
      <c r="I114" s="3">
        <v>45929</v>
      </c>
      <c r="J114" s="2">
        <v>98092.23</v>
      </c>
      <c r="K114" s="2">
        <v>147248.54</v>
      </c>
      <c r="L114" s="2">
        <v>50</v>
      </c>
      <c r="M114" s="2"/>
      <c r="N114" s="2"/>
    </row>
    <row r="115" spans="1:14">
      <c r="A115" s="2">
        <v>5</v>
      </c>
      <c r="B115" s="2">
        <f t="shared" si="1"/>
        <v>19524</v>
      </c>
      <c r="C115" s="2" t="s">
        <v>124</v>
      </c>
      <c r="D115" s="2" t="s">
        <v>403</v>
      </c>
      <c r="E115" s="2" t="s">
        <v>520</v>
      </c>
      <c r="F115" s="4">
        <v>195240045775</v>
      </c>
      <c r="G115" s="2" t="s">
        <v>136</v>
      </c>
      <c r="H115" s="2" t="s">
        <v>13</v>
      </c>
      <c r="I115" s="3">
        <v>45776</v>
      </c>
      <c r="J115" s="2">
        <v>15594.48</v>
      </c>
      <c r="K115" s="2">
        <v>16221.24</v>
      </c>
      <c r="L115" s="2">
        <v>203</v>
      </c>
      <c r="M115" s="2"/>
      <c r="N115" s="2"/>
    </row>
    <row r="116" spans="1:14">
      <c r="A116" s="2">
        <v>5</v>
      </c>
      <c r="B116" s="2">
        <f t="shared" si="1"/>
        <v>19546</v>
      </c>
      <c r="C116" s="2" t="s">
        <v>124</v>
      </c>
      <c r="D116" s="2" t="s">
        <v>404</v>
      </c>
      <c r="E116" s="2" t="s">
        <v>514</v>
      </c>
      <c r="F116" s="4">
        <v>195461913470</v>
      </c>
      <c r="G116" s="2" t="s">
        <v>137</v>
      </c>
      <c r="H116" s="2" t="s">
        <v>13</v>
      </c>
      <c r="I116" s="3">
        <v>45776</v>
      </c>
      <c r="J116" s="2">
        <v>14768.03</v>
      </c>
      <c r="K116" s="2">
        <v>15267.13</v>
      </c>
      <c r="L116" s="2">
        <v>203</v>
      </c>
      <c r="M116" s="2"/>
      <c r="N116" s="2"/>
    </row>
    <row r="117" spans="1:14">
      <c r="A117" s="2">
        <v>5</v>
      </c>
      <c r="B117" s="2">
        <f t="shared" si="1"/>
        <v>19693</v>
      </c>
      <c r="C117" s="2" t="s">
        <v>124</v>
      </c>
      <c r="D117" s="2" t="s">
        <v>405</v>
      </c>
      <c r="E117" s="2" t="s">
        <v>516</v>
      </c>
      <c r="F117" s="4">
        <v>196931933070</v>
      </c>
      <c r="G117" s="2" t="s">
        <v>138</v>
      </c>
      <c r="H117" s="2" t="s">
        <v>13</v>
      </c>
      <c r="I117" s="3">
        <v>45287</v>
      </c>
      <c r="J117" s="2">
        <v>11888.7</v>
      </c>
      <c r="K117" s="2">
        <v>12353.43</v>
      </c>
      <c r="L117" s="2">
        <v>692</v>
      </c>
      <c r="M117" s="3">
        <v>45916</v>
      </c>
      <c r="N117" s="2"/>
    </row>
    <row r="118" spans="1:14">
      <c r="A118" s="2">
        <v>5</v>
      </c>
      <c r="B118" s="2">
        <f t="shared" si="1"/>
        <v>19529</v>
      </c>
      <c r="C118" s="2" t="s">
        <v>124</v>
      </c>
      <c r="D118" s="2" t="s">
        <v>397</v>
      </c>
      <c r="E118" s="2" t="s">
        <v>514</v>
      </c>
      <c r="F118" s="4">
        <v>195291921774</v>
      </c>
      <c r="G118" s="2" t="s">
        <v>139</v>
      </c>
      <c r="H118" s="2" t="s">
        <v>12</v>
      </c>
      <c r="I118" s="3">
        <v>45745</v>
      </c>
      <c r="J118" s="2">
        <v>8123.26</v>
      </c>
      <c r="K118" s="2">
        <v>9363.91</v>
      </c>
      <c r="L118" s="2">
        <v>234</v>
      </c>
      <c r="M118" s="2"/>
      <c r="N118" s="2"/>
    </row>
    <row r="119" spans="1:14">
      <c r="A119" s="2">
        <v>5</v>
      </c>
      <c r="B119" s="2">
        <f t="shared" si="1"/>
        <v>19580</v>
      </c>
      <c r="C119" s="2" t="s">
        <v>124</v>
      </c>
      <c r="D119" s="2" t="s">
        <v>406</v>
      </c>
      <c r="E119" s="2" t="s">
        <v>505</v>
      </c>
      <c r="F119" s="4">
        <v>195801938146</v>
      </c>
      <c r="G119" s="2" t="s">
        <v>140</v>
      </c>
      <c r="H119" s="2" t="s">
        <v>13</v>
      </c>
      <c r="I119" s="3">
        <v>45776</v>
      </c>
      <c r="J119" s="2">
        <v>9333.5300000000007</v>
      </c>
      <c r="K119" s="2">
        <v>9333.5300000000007</v>
      </c>
      <c r="L119" s="2">
        <v>203</v>
      </c>
      <c r="M119" s="2"/>
      <c r="N119" s="2"/>
    </row>
    <row r="120" spans="1:14">
      <c r="A120" s="2">
        <v>5</v>
      </c>
      <c r="B120" s="2">
        <f t="shared" si="1"/>
        <v>19581</v>
      </c>
      <c r="C120" s="2" t="s">
        <v>124</v>
      </c>
      <c r="D120" s="2" t="s">
        <v>407</v>
      </c>
      <c r="E120" s="2" t="s">
        <v>519</v>
      </c>
      <c r="F120" s="4">
        <v>195811907150</v>
      </c>
      <c r="G120" s="2" t="s">
        <v>141</v>
      </c>
      <c r="H120" s="2" t="s">
        <v>13</v>
      </c>
      <c r="I120" s="3">
        <v>45776</v>
      </c>
      <c r="J120" s="2">
        <v>10680.87</v>
      </c>
      <c r="K120" s="2">
        <v>10680.87</v>
      </c>
      <c r="L120" s="2">
        <v>203</v>
      </c>
      <c r="M120" s="2"/>
      <c r="N120" s="2"/>
    </row>
    <row r="121" spans="1:14">
      <c r="A121" s="2">
        <v>5</v>
      </c>
      <c r="B121" s="2">
        <f t="shared" si="1"/>
        <v>19578</v>
      </c>
      <c r="C121" s="2" t="s">
        <v>124</v>
      </c>
      <c r="D121" s="2" t="s">
        <v>402</v>
      </c>
      <c r="E121" s="2" t="s">
        <v>519</v>
      </c>
      <c r="F121" s="4">
        <v>195780083196</v>
      </c>
      <c r="G121" s="2" t="s">
        <v>142</v>
      </c>
      <c r="H121" s="2" t="s">
        <v>13</v>
      </c>
      <c r="I121" s="3">
        <v>45776</v>
      </c>
      <c r="J121" s="2">
        <v>13679.08</v>
      </c>
      <c r="K121" s="2">
        <v>13679.08</v>
      </c>
      <c r="L121" s="2">
        <v>203</v>
      </c>
      <c r="M121" s="2"/>
      <c r="N121" s="2"/>
    </row>
    <row r="122" spans="1:14">
      <c r="A122" s="2">
        <v>5</v>
      </c>
      <c r="B122" s="2">
        <f t="shared" si="1"/>
        <v>19568</v>
      </c>
      <c r="C122" s="2" t="s">
        <v>124</v>
      </c>
      <c r="D122" s="2" t="s">
        <v>408</v>
      </c>
      <c r="E122" s="2" t="s">
        <v>519</v>
      </c>
      <c r="F122" s="4">
        <v>195680077512</v>
      </c>
      <c r="G122" s="2" t="s">
        <v>143</v>
      </c>
      <c r="H122" s="2" t="s">
        <v>13</v>
      </c>
      <c r="I122" s="3">
        <v>45776</v>
      </c>
      <c r="J122" s="2">
        <v>13039.66</v>
      </c>
      <c r="K122" s="2">
        <v>13690.97</v>
      </c>
      <c r="L122" s="2">
        <v>203</v>
      </c>
      <c r="M122" s="2"/>
      <c r="N122" s="2"/>
    </row>
    <row r="123" spans="1:14">
      <c r="A123" s="2">
        <v>5</v>
      </c>
      <c r="B123" s="2">
        <f t="shared" si="1"/>
        <v>19583</v>
      </c>
      <c r="C123" s="2" t="s">
        <v>124</v>
      </c>
      <c r="D123" s="2" t="s">
        <v>409</v>
      </c>
      <c r="E123" s="2" t="s">
        <v>519</v>
      </c>
      <c r="F123" s="4">
        <v>195830084881</v>
      </c>
      <c r="G123" s="2" t="s">
        <v>144</v>
      </c>
      <c r="H123" s="2" t="s">
        <v>13</v>
      </c>
      <c r="I123" s="3">
        <v>45776</v>
      </c>
      <c r="J123" s="2">
        <v>15022.26</v>
      </c>
      <c r="K123" s="2">
        <v>15673.57</v>
      </c>
      <c r="L123" s="2">
        <v>203</v>
      </c>
      <c r="M123" s="2"/>
      <c r="N123" s="2"/>
    </row>
    <row r="124" spans="1:14">
      <c r="A124" s="2">
        <v>5</v>
      </c>
      <c r="B124" s="2">
        <f t="shared" si="1"/>
        <v>19679</v>
      </c>
      <c r="C124" s="2" t="s">
        <v>124</v>
      </c>
      <c r="D124" s="2" t="s">
        <v>410</v>
      </c>
      <c r="E124" s="2" t="s">
        <v>514</v>
      </c>
      <c r="F124" s="4">
        <v>196791933929</v>
      </c>
      <c r="G124" s="2" t="s">
        <v>145</v>
      </c>
      <c r="H124" s="2" t="s">
        <v>13</v>
      </c>
      <c r="I124" s="3">
        <v>45776</v>
      </c>
      <c r="J124" s="2">
        <v>8801.89</v>
      </c>
      <c r="K124" s="2">
        <v>9320.6299999999992</v>
      </c>
      <c r="L124" s="2">
        <v>203</v>
      </c>
      <c r="M124" s="2"/>
      <c r="N124" s="2"/>
    </row>
    <row r="125" spans="1:14">
      <c r="A125" s="2">
        <v>5</v>
      </c>
      <c r="B125" s="2">
        <f t="shared" si="1"/>
        <v>19575</v>
      </c>
      <c r="C125" s="2" t="s">
        <v>124</v>
      </c>
      <c r="D125" s="2" t="s">
        <v>411</v>
      </c>
      <c r="E125" s="2" t="s">
        <v>505</v>
      </c>
      <c r="F125" s="4">
        <v>195751904351</v>
      </c>
      <c r="G125" s="2" t="s">
        <v>146</v>
      </c>
      <c r="H125" s="2" t="s">
        <v>13</v>
      </c>
      <c r="I125" s="3">
        <v>45776</v>
      </c>
      <c r="J125" s="2">
        <v>15900.36</v>
      </c>
      <c r="K125" s="2">
        <v>16409.28</v>
      </c>
      <c r="L125" s="2">
        <v>203</v>
      </c>
      <c r="M125" s="2"/>
      <c r="N125" s="2"/>
    </row>
    <row r="126" spans="1:14">
      <c r="A126" s="2">
        <v>5</v>
      </c>
      <c r="B126" s="2">
        <f t="shared" si="1"/>
        <v>19558</v>
      </c>
      <c r="C126" s="2" t="s">
        <v>124</v>
      </c>
      <c r="D126" s="2" t="s">
        <v>412</v>
      </c>
      <c r="E126" s="2" t="s">
        <v>505</v>
      </c>
      <c r="F126" s="4">
        <v>195580071584</v>
      </c>
      <c r="G126" s="2" t="s">
        <v>147</v>
      </c>
      <c r="H126" s="2" t="s">
        <v>12</v>
      </c>
      <c r="I126" s="3">
        <v>45716</v>
      </c>
      <c r="J126" s="2">
        <v>5005.87</v>
      </c>
      <c r="K126" s="2">
        <v>5539.99</v>
      </c>
      <c r="L126" s="2">
        <v>263</v>
      </c>
      <c r="M126" s="2"/>
      <c r="N126" s="2"/>
    </row>
    <row r="127" spans="1:14">
      <c r="A127" s="2">
        <v>5</v>
      </c>
      <c r="B127" s="2">
        <f t="shared" si="1"/>
        <v>19557</v>
      </c>
      <c r="C127" s="2" t="s">
        <v>124</v>
      </c>
      <c r="D127" s="2" t="s">
        <v>413</v>
      </c>
      <c r="E127" s="2" t="s">
        <v>505</v>
      </c>
      <c r="F127" s="4">
        <v>195571906037</v>
      </c>
      <c r="G127" s="2" t="s">
        <v>148</v>
      </c>
      <c r="H127" s="2" t="s">
        <v>13</v>
      </c>
      <c r="I127" s="3">
        <v>45776</v>
      </c>
      <c r="J127" s="2">
        <v>6030.91</v>
      </c>
      <c r="K127" s="2">
        <v>6584.02</v>
      </c>
      <c r="L127" s="2">
        <v>203</v>
      </c>
      <c r="M127" s="2"/>
      <c r="N127" s="2"/>
    </row>
    <row r="128" spans="1:14">
      <c r="A128" s="2">
        <v>5</v>
      </c>
      <c r="B128" s="2">
        <f t="shared" si="1"/>
        <v>19678</v>
      </c>
      <c r="C128" s="2" t="s">
        <v>124</v>
      </c>
      <c r="D128" s="2" t="s">
        <v>379</v>
      </c>
      <c r="E128" s="2" t="s">
        <v>505</v>
      </c>
      <c r="F128" s="4">
        <v>196781940234</v>
      </c>
      <c r="G128" s="2" t="s">
        <v>149</v>
      </c>
      <c r="H128" s="2" t="s">
        <v>13</v>
      </c>
      <c r="I128" s="3">
        <v>45776</v>
      </c>
      <c r="J128" s="2">
        <v>10137.709999999999</v>
      </c>
      <c r="K128" s="2">
        <v>10685.91</v>
      </c>
      <c r="L128" s="2">
        <v>203</v>
      </c>
      <c r="M128" s="2"/>
      <c r="N128" s="2"/>
    </row>
    <row r="129" spans="1:14">
      <c r="A129" s="2">
        <v>5</v>
      </c>
      <c r="B129" s="2">
        <f t="shared" si="1"/>
        <v>19556</v>
      </c>
      <c r="C129" s="2" t="s">
        <v>124</v>
      </c>
      <c r="D129" s="2" t="s">
        <v>414</v>
      </c>
      <c r="E129" s="2" t="s">
        <v>505</v>
      </c>
      <c r="F129" s="4">
        <v>195560000966</v>
      </c>
      <c r="G129" s="2" t="s">
        <v>150</v>
      </c>
      <c r="H129" s="2" t="s">
        <v>10</v>
      </c>
      <c r="I129" s="3">
        <v>45712</v>
      </c>
      <c r="J129" s="2">
        <v>15515.42</v>
      </c>
      <c r="K129" s="2">
        <v>17277.39</v>
      </c>
      <c r="L129" s="2">
        <v>267</v>
      </c>
      <c r="M129" s="2"/>
      <c r="N129" s="2"/>
    </row>
    <row r="130" spans="1:14">
      <c r="A130" s="2">
        <v>5</v>
      </c>
      <c r="B130" s="2">
        <f t="shared" si="1"/>
        <v>19520</v>
      </c>
      <c r="C130" s="2" t="s">
        <v>124</v>
      </c>
      <c r="D130" s="2" t="s">
        <v>415</v>
      </c>
      <c r="E130" s="2" t="s">
        <v>521</v>
      </c>
      <c r="F130" s="4">
        <v>195201908375</v>
      </c>
      <c r="G130" s="2" t="s">
        <v>151</v>
      </c>
      <c r="H130" s="2" t="s">
        <v>12</v>
      </c>
      <c r="I130" s="3">
        <v>45786</v>
      </c>
      <c r="J130" s="2">
        <v>20931.21</v>
      </c>
      <c r="K130" s="2">
        <v>20931.21</v>
      </c>
      <c r="L130" s="2">
        <v>193</v>
      </c>
      <c r="M130" s="2"/>
      <c r="N130" s="2"/>
    </row>
    <row r="131" spans="1:14">
      <c r="A131" s="2">
        <v>5</v>
      </c>
      <c r="B131" s="2">
        <f t="shared" ref="B131:B194" si="2">VALUE(LEFT(F131,5))</f>
        <v>19520</v>
      </c>
      <c r="C131" s="2" t="s">
        <v>124</v>
      </c>
      <c r="D131" s="2" t="s">
        <v>415</v>
      </c>
      <c r="E131" s="2" t="s">
        <v>521</v>
      </c>
      <c r="F131" s="4">
        <v>195201908511</v>
      </c>
      <c r="G131" s="2" t="s">
        <v>152</v>
      </c>
      <c r="H131" s="2" t="s">
        <v>12</v>
      </c>
      <c r="I131" s="3">
        <v>45908</v>
      </c>
      <c r="J131" s="2">
        <v>5449.47</v>
      </c>
      <c r="K131" s="2">
        <v>5449.47</v>
      </c>
      <c r="L131" s="2">
        <v>71</v>
      </c>
      <c r="M131" s="2"/>
      <c r="N131" s="2"/>
    </row>
    <row r="132" spans="1:14">
      <c r="A132" s="2">
        <v>5</v>
      </c>
      <c r="B132" s="2">
        <f t="shared" si="2"/>
        <v>19520</v>
      </c>
      <c r="C132" s="2" t="s">
        <v>124</v>
      </c>
      <c r="D132" s="2" t="s">
        <v>415</v>
      </c>
      <c r="E132" s="2" t="s">
        <v>521</v>
      </c>
      <c r="F132" s="4">
        <v>195201942506</v>
      </c>
      <c r="G132" s="2" t="s">
        <v>153</v>
      </c>
      <c r="H132" s="2" t="s">
        <v>13</v>
      </c>
      <c r="I132" s="3">
        <v>45776</v>
      </c>
      <c r="J132" s="2">
        <v>9596.7800000000007</v>
      </c>
      <c r="K132" s="2">
        <v>9596.7800000000007</v>
      </c>
      <c r="L132" s="2">
        <v>203</v>
      </c>
      <c r="M132" s="2"/>
      <c r="N132" s="2"/>
    </row>
    <row r="133" spans="1:14">
      <c r="A133" s="2">
        <v>5</v>
      </c>
      <c r="B133" s="2">
        <f t="shared" si="2"/>
        <v>19542</v>
      </c>
      <c r="C133" s="2" t="s">
        <v>124</v>
      </c>
      <c r="D133" s="2" t="s">
        <v>416</v>
      </c>
      <c r="E133" s="2" t="s">
        <v>505</v>
      </c>
      <c r="F133" s="4">
        <v>195421937074</v>
      </c>
      <c r="G133" s="2" t="s">
        <v>154</v>
      </c>
      <c r="H133" s="2" t="s">
        <v>13</v>
      </c>
      <c r="I133" s="3">
        <v>45776</v>
      </c>
      <c r="J133" s="2">
        <v>11559.44</v>
      </c>
      <c r="K133" s="2">
        <v>12019.26</v>
      </c>
      <c r="L133" s="2">
        <v>203</v>
      </c>
      <c r="M133" s="2"/>
      <c r="N133" s="2"/>
    </row>
    <row r="134" spans="1:14">
      <c r="A134" s="2">
        <v>5</v>
      </c>
      <c r="B134" s="2">
        <f t="shared" si="2"/>
        <v>19542</v>
      </c>
      <c r="C134" s="2" t="s">
        <v>124</v>
      </c>
      <c r="D134" s="2" t="s">
        <v>416</v>
      </c>
      <c r="E134" s="2" t="s">
        <v>505</v>
      </c>
      <c r="F134" s="4">
        <v>195421937082</v>
      </c>
      <c r="G134" s="2" t="s">
        <v>154</v>
      </c>
      <c r="H134" s="2" t="s">
        <v>13</v>
      </c>
      <c r="I134" s="3">
        <v>45776</v>
      </c>
      <c r="J134" s="2">
        <v>7289.67</v>
      </c>
      <c r="K134" s="2">
        <v>7744.58</v>
      </c>
      <c r="L134" s="2">
        <v>203</v>
      </c>
      <c r="M134" s="2"/>
      <c r="N134" s="2"/>
    </row>
    <row r="135" spans="1:14">
      <c r="A135" s="2">
        <v>5</v>
      </c>
      <c r="B135" s="2">
        <f t="shared" si="2"/>
        <v>19520</v>
      </c>
      <c r="C135" s="2" t="s">
        <v>124</v>
      </c>
      <c r="D135" s="2" t="s">
        <v>415</v>
      </c>
      <c r="E135" s="2" t="s">
        <v>521</v>
      </c>
      <c r="F135" s="4">
        <v>195200042005</v>
      </c>
      <c r="G135" s="2" t="s">
        <v>144</v>
      </c>
      <c r="H135" s="2" t="s">
        <v>13</v>
      </c>
      <c r="I135" s="3">
        <v>45776</v>
      </c>
      <c r="J135" s="2">
        <v>18509.75</v>
      </c>
      <c r="K135" s="2">
        <v>19107.05</v>
      </c>
      <c r="L135" s="2">
        <v>203</v>
      </c>
      <c r="M135" s="2"/>
      <c r="N135" s="2"/>
    </row>
    <row r="136" spans="1:14">
      <c r="A136" s="2">
        <v>5</v>
      </c>
      <c r="B136" s="2">
        <f t="shared" si="2"/>
        <v>19563</v>
      </c>
      <c r="C136" s="2" t="s">
        <v>124</v>
      </c>
      <c r="D136" s="2" t="s">
        <v>417</v>
      </c>
      <c r="E136" s="2" t="s">
        <v>521</v>
      </c>
      <c r="F136" s="4">
        <v>195631936747</v>
      </c>
      <c r="G136" s="2" t="s">
        <v>155</v>
      </c>
      <c r="H136" s="2" t="s">
        <v>13</v>
      </c>
      <c r="I136" s="3">
        <v>45776</v>
      </c>
      <c r="J136" s="2">
        <v>10000.43</v>
      </c>
      <c r="K136" s="2">
        <v>10450.43</v>
      </c>
      <c r="L136" s="2">
        <v>203</v>
      </c>
      <c r="M136" s="2"/>
      <c r="N136" s="2"/>
    </row>
    <row r="137" spans="1:14">
      <c r="A137" s="2">
        <v>5</v>
      </c>
      <c r="B137" s="2">
        <f t="shared" si="2"/>
        <v>19642</v>
      </c>
      <c r="C137" s="2" t="s">
        <v>124</v>
      </c>
      <c r="D137" s="2" t="s">
        <v>418</v>
      </c>
      <c r="E137" s="2" t="s">
        <v>522</v>
      </c>
      <c r="F137" s="4">
        <v>196421936996</v>
      </c>
      <c r="G137" s="2" t="s">
        <v>156</v>
      </c>
      <c r="H137" s="2" t="s">
        <v>13</v>
      </c>
      <c r="I137" s="3">
        <v>45785</v>
      </c>
      <c r="J137" s="2">
        <v>5112.13</v>
      </c>
      <c r="K137" s="2">
        <v>5586.68</v>
      </c>
      <c r="L137" s="2">
        <v>194</v>
      </c>
      <c r="M137" s="2"/>
      <c r="N137" s="2"/>
    </row>
    <row r="138" spans="1:14">
      <c r="A138" s="2">
        <v>5</v>
      </c>
      <c r="B138" s="2">
        <f t="shared" si="2"/>
        <v>19646</v>
      </c>
      <c r="C138" s="2" t="s">
        <v>124</v>
      </c>
      <c r="D138" s="2" t="s">
        <v>419</v>
      </c>
      <c r="E138" s="2" t="s">
        <v>522</v>
      </c>
      <c r="F138" s="4">
        <v>196461933515</v>
      </c>
      <c r="G138" s="2" t="s">
        <v>157</v>
      </c>
      <c r="H138" s="2" t="s">
        <v>13</v>
      </c>
      <c r="I138" s="3">
        <v>45776</v>
      </c>
      <c r="J138" s="2">
        <v>8476.0300000000007</v>
      </c>
      <c r="K138" s="2">
        <v>8930.94</v>
      </c>
      <c r="L138" s="2">
        <v>203</v>
      </c>
      <c r="M138" s="2"/>
      <c r="N138" s="2"/>
    </row>
    <row r="139" spans="1:14">
      <c r="A139" s="2">
        <v>5</v>
      </c>
      <c r="B139" s="2">
        <f t="shared" si="2"/>
        <v>19501</v>
      </c>
      <c r="C139" s="2" t="s">
        <v>124</v>
      </c>
      <c r="D139" s="2" t="s">
        <v>124</v>
      </c>
      <c r="E139" s="2" t="s">
        <v>515</v>
      </c>
      <c r="F139" s="4">
        <v>195010006525</v>
      </c>
      <c r="G139" s="2" t="s">
        <v>158</v>
      </c>
      <c r="H139" s="2" t="s">
        <v>13</v>
      </c>
      <c r="I139" s="3">
        <v>45747</v>
      </c>
      <c r="J139" s="2">
        <v>21850.99</v>
      </c>
      <c r="K139" s="2">
        <v>26693.31</v>
      </c>
      <c r="L139" s="2">
        <v>232</v>
      </c>
      <c r="M139" s="2"/>
      <c r="N139" s="2"/>
    </row>
    <row r="140" spans="1:14">
      <c r="A140" s="2">
        <v>5</v>
      </c>
      <c r="B140" s="2">
        <f t="shared" si="2"/>
        <v>19501</v>
      </c>
      <c r="C140" s="2" t="s">
        <v>124</v>
      </c>
      <c r="D140" s="2" t="s">
        <v>124</v>
      </c>
      <c r="E140" s="2" t="s">
        <v>515</v>
      </c>
      <c r="F140" s="4">
        <v>195010003615</v>
      </c>
      <c r="G140" s="2" t="s">
        <v>159</v>
      </c>
      <c r="H140" s="2" t="s">
        <v>10</v>
      </c>
      <c r="I140" s="3">
        <v>45933</v>
      </c>
      <c r="J140" s="2">
        <v>11596.59</v>
      </c>
      <c r="K140" s="2">
        <v>22306.13</v>
      </c>
      <c r="L140" s="2">
        <v>46</v>
      </c>
      <c r="M140" s="2"/>
      <c r="N140" s="2"/>
    </row>
    <row r="141" spans="1:14">
      <c r="A141" s="2">
        <v>5</v>
      </c>
      <c r="B141" s="2">
        <f t="shared" si="2"/>
        <v>19501</v>
      </c>
      <c r="C141" s="2" t="s">
        <v>124</v>
      </c>
      <c r="D141" s="2" t="s">
        <v>124</v>
      </c>
      <c r="E141" s="2" t="s">
        <v>515</v>
      </c>
      <c r="F141" s="4">
        <v>195011950278</v>
      </c>
      <c r="G141" s="2" t="s">
        <v>160</v>
      </c>
      <c r="H141" s="2" t="s">
        <v>13</v>
      </c>
      <c r="I141" s="3">
        <v>45182</v>
      </c>
      <c r="J141" s="2">
        <v>9151.51</v>
      </c>
      <c r="K141" s="2">
        <v>9651.51</v>
      </c>
      <c r="L141" s="2">
        <v>797</v>
      </c>
      <c r="M141" s="3">
        <v>45916</v>
      </c>
      <c r="N141" s="2"/>
    </row>
    <row r="142" spans="1:14">
      <c r="A142" s="2">
        <v>5</v>
      </c>
      <c r="B142" s="2">
        <f t="shared" si="2"/>
        <v>19501</v>
      </c>
      <c r="C142" s="2" t="s">
        <v>124</v>
      </c>
      <c r="D142" s="2" t="s">
        <v>124</v>
      </c>
      <c r="E142" s="2" t="s">
        <v>515</v>
      </c>
      <c r="F142" s="4">
        <v>195010005871</v>
      </c>
      <c r="G142" s="2" t="s">
        <v>161</v>
      </c>
      <c r="H142" s="2" t="s">
        <v>13</v>
      </c>
      <c r="I142" s="3">
        <v>45381</v>
      </c>
      <c r="J142" s="2">
        <v>9067.93</v>
      </c>
      <c r="K142" s="2">
        <v>9067.93</v>
      </c>
      <c r="L142" s="2">
        <v>598</v>
      </c>
      <c r="M142" s="3">
        <v>45916</v>
      </c>
      <c r="N142" s="2"/>
    </row>
    <row r="143" spans="1:14">
      <c r="A143" s="2">
        <v>5</v>
      </c>
      <c r="B143" s="2">
        <f t="shared" si="2"/>
        <v>19501</v>
      </c>
      <c r="C143" s="2" t="s">
        <v>124</v>
      </c>
      <c r="D143" s="2" t="s">
        <v>124</v>
      </c>
      <c r="E143" s="2" t="s">
        <v>515</v>
      </c>
      <c r="F143" s="4">
        <v>195012932524</v>
      </c>
      <c r="G143" s="2" t="s">
        <v>162</v>
      </c>
      <c r="H143" s="2" t="s">
        <v>13</v>
      </c>
      <c r="I143" s="3">
        <v>45860</v>
      </c>
      <c r="J143" s="2">
        <v>26045.919999999998</v>
      </c>
      <c r="K143" s="2">
        <v>28104.63</v>
      </c>
      <c r="L143" s="2">
        <v>119</v>
      </c>
      <c r="M143" s="2"/>
      <c r="N143" s="2"/>
    </row>
    <row r="144" spans="1:14">
      <c r="A144" s="2">
        <v>5</v>
      </c>
      <c r="B144" s="2">
        <f t="shared" si="2"/>
        <v>19501</v>
      </c>
      <c r="C144" s="2" t="s">
        <v>124</v>
      </c>
      <c r="D144" s="2" t="s">
        <v>124</v>
      </c>
      <c r="E144" s="2" t="s">
        <v>515</v>
      </c>
      <c r="F144" s="4">
        <v>195011924455</v>
      </c>
      <c r="G144" s="2" t="s">
        <v>163</v>
      </c>
      <c r="H144" s="2" t="s">
        <v>13</v>
      </c>
      <c r="I144" s="3">
        <v>45009</v>
      </c>
      <c r="J144" s="2">
        <v>14330.83</v>
      </c>
      <c r="K144" s="2">
        <v>14780.83</v>
      </c>
      <c r="L144" s="2">
        <v>970</v>
      </c>
      <c r="M144" s="3">
        <v>45915</v>
      </c>
      <c r="N144" s="2"/>
    </row>
    <row r="145" spans="1:14">
      <c r="A145" s="2">
        <v>5</v>
      </c>
      <c r="B145" s="2">
        <f t="shared" si="2"/>
        <v>19501</v>
      </c>
      <c r="C145" s="2" t="s">
        <v>124</v>
      </c>
      <c r="D145" s="2" t="s">
        <v>124</v>
      </c>
      <c r="E145" s="2" t="s">
        <v>515</v>
      </c>
      <c r="F145" s="4">
        <v>195011904900</v>
      </c>
      <c r="G145" s="2" t="s">
        <v>164</v>
      </c>
      <c r="H145" s="2" t="s">
        <v>10</v>
      </c>
      <c r="I145" s="3">
        <v>45918</v>
      </c>
      <c r="J145" s="2">
        <v>20911.240000000002</v>
      </c>
      <c r="K145" s="2">
        <v>31480.77</v>
      </c>
      <c r="L145" s="2">
        <v>61</v>
      </c>
      <c r="M145" s="2"/>
      <c r="N145" s="2"/>
    </row>
    <row r="146" spans="1:14">
      <c r="A146" s="2">
        <v>5</v>
      </c>
      <c r="B146" s="2">
        <f t="shared" si="2"/>
        <v>19501</v>
      </c>
      <c r="C146" s="2" t="s">
        <v>124</v>
      </c>
      <c r="D146" s="2" t="s">
        <v>124</v>
      </c>
      <c r="E146" s="2" t="s">
        <v>515</v>
      </c>
      <c r="F146" s="4">
        <v>195010006398</v>
      </c>
      <c r="G146" s="2" t="s">
        <v>165</v>
      </c>
      <c r="H146" s="2" t="s">
        <v>10</v>
      </c>
      <c r="I146" s="3">
        <v>45972</v>
      </c>
      <c r="J146" s="2">
        <v>7163.04</v>
      </c>
      <c r="K146" s="2">
        <v>14321.55</v>
      </c>
      <c r="L146" s="2">
        <v>7</v>
      </c>
      <c r="M146" s="2"/>
      <c r="N146" s="2"/>
    </row>
    <row r="147" spans="1:14">
      <c r="A147" s="2">
        <v>5</v>
      </c>
      <c r="B147" s="2">
        <f t="shared" si="2"/>
        <v>19501</v>
      </c>
      <c r="C147" s="2" t="s">
        <v>124</v>
      </c>
      <c r="D147" s="2" t="s">
        <v>124</v>
      </c>
      <c r="E147" s="2" t="s">
        <v>515</v>
      </c>
      <c r="F147" s="4">
        <v>195011988186</v>
      </c>
      <c r="G147" s="2" t="s">
        <v>166</v>
      </c>
      <c r="H147" s="2" t="s">
        <v>10</v>
      </c>
      <c r="I147" s="3">
        <v>45971</v>
      </c>
      <c r="J147" s="2">
        <v>5020.07</v>
      </c>
      <c r="K147" s="2">
        <v>13362.26</v>
      </c>
      <c r="L147" s="2">
        <v>8</v>
      </c>
      <c r="M147" s="2"/>
      <c r="N147" s="2"/>
    </row>
    <row r="148" spans="1:14">
      <c r="A148" s="2">
        <v>5</v>
      </c>
      <c r="B148" s="2">
        <f t="shared" si="2"/>
        <v>19501</v>
      </c>
      <c r="C148" s="2" t="s">
        <v>124</v>
      </c>
      <c r="D148" s="2" t="s">
        <v>124</v>
      </c>
      <c r="E148" s="2" t="s">
        <v>515</v>
      </c>
      <c r="F148" s="4">
        <v>195011919702</v>
      </c>
      <c r="G148" s="2" t="s">
        <v>167</v>
      </c>
      <c r="H148" s="2" t="s">
        <v>13</v>
      </c>
      <c r="I148" s="3">
        <v>45904</v>
      </c>
      <c r="J148" s="2">
        <v>8248.86</v>
      </c>
      <c r="K148" s="2">
        <v>10904.47</v>
      </c>
      <c r="L148" s="2">
        <v>75</v>
      </c>
      <c r="M148" s="2"/>
      <c r="N148" s="2"/>
    </row>
    <row r="149" spans="1:14">
      <c r="A149" s="2">
        <v>5</v>
      </c>
      <c r="B149" s="2">
        <f t="shared" si="2"/>
        <v>19501</v>
      </c>
      <c r="C149" s="2" t="s">
        <v>124</v>
      </c>
      <c r="D149" s="2" t="s">
        <v>124</v>
      </c>
      <c r="E149" s="2" t="s">
        <v>515</v>
      </c>
      <c r="F149" s="4">
        <v>195012932320</v>
      </c>
      <c r="G149" s="2" t="s">
        <v>168</v>
      </c>
      <c r="H149" s="2" t="s">
        <v>12</v>
      </c>
      <c r="I149" s="3">
        <v>45918</v>
      </c>
      <c r="J149" s="2">
        <v>8382.42</v>
      </c>
      <c r="K149" s="2">
        <v>12360.78</v>
      </c>
      <c r="L149" s="2">
        <v>61</v>
      </c>
      <c r="M149" s="2"/>
      <c r="N149" s="2"/>
    </row>
    <row r="150" spans="1:14">
      <c r="A150" s="2">
        <v>5</v>
      </c>
      <c r="B150" s="2">
        <f t="shared" si="2"/>
        <v>19680</v>
      </c>
      <c r="C150" s="2" t="s">
        <v>124</v>
      </c>
      <c r="D150" s="2" t="s">
        <v>420</v>
      </c>
      <c r="E150" s="2" t="s">
        <v>523</v>
      </c>
      <c r="F150" s="4">
        <v>196801937421</v>
      </c>
      <c r="G150" s="2" t="s">
        <v>155</v>
      </c>
      <c r="H150" s="2" t="s">
        <v>13</v>
      </c>
      <c r="I150" s="3">
        <v>45776</v>
      </c>
      <c r="J150" s="2">
        <v>11018</v>
      </c>
      <c r="K150" s="2">
        <v>11018</v>
      </c>
      <c r="L150" s="2">
        <v>203</v>
      </c>
      <c r="M150" s="2"/>
      <c r="N150" s="2"/>
    </row>
    <row r="151" spans="1:14">
      <c r="A151" s="2">
        <v>5</v>
      </c>
      <c r="B151" s="2">
        <f t="shared" si="2"/>
        <v>19501</v>
      </c>
      <c r="C151" s="2" t="s">
        <v>124</v>
      </c>
      <c r="D151" s="2" t="s">
        <v>124</v>
      </c>
      <c r="E151" s="2" t="s">
        <v>515</v>
      </c>
      <c r="F151" s="4">
        <v>195011909201</v>
      </c>
      <c r="G151" s="2" t="s">
        <v>169</v>
      </c>
      <c r="H151" s="2" t="s">
        <v>12</v>
      </c>
      <c r="I151" s="3">
        <v>45915</v>
      </c>
      <c r="J151" s="2">
        <v>5497.79</v>
      </c>
      <c r="K151" s="2">
        <v>8201.99</v>
      </c>
      <c r="L151" s="2">
        <v>64</v>
      </c>
      <c r="M151" s="2"/>
      <c r="N151" s="2"/>
    </row>
    <row r="152" spans="1:14">
      <c r="A152" s="2">
        <v>5</v>
      </c>
      <c r="B152" s="2">
        <f t="shared" si="2"/>
        <v>19550</v>
      </c>
      <c r="C152" s="2" t="s">
        <v>124</v>
      </c>
      <c r="D152" s="2" t="s">
        <v>421</v>
      </c>
      <c r="E152" s="2" t="s">
        <v>523</v>
      </c>
      <c r="F152" s="4">
        <v>195501923317</v>
      </c>
      <c r="G152" s="2" t="s">
        <v>170</v>
      </c>
      <c r="H152" s="2" t="s">
        <v>12</v>
      </c>
      <c r="I152" s="3">
        <v>45863</v>
      </c>
      <c r="J152" s="2">
        <v>7285.91</v>
      </c>
      <c r="K152" s="2">
        <v>7285.91</v>
      </c>
      <c r="L152" s="2">
        <v>116</v>
      </c>
      <c r="M152" s="2"/>
      <c r="N152" s="2"/>
    </row>
    <row r="153" spans="1:14">
      <c r="A153" s="2">
        <v>5</v>
      </c>
      <c r="B153" s="2">
        <f t="shared" si="2"/>
        <v>19550</v>
      </c>
      <c r="C153" s="2" t="s">
        <v>124</v>
      </c>
      <c r="D153" s="2" t="s">
        <v>421</v>
      </c>
      <c r="E153" s="2" t="s">
        <v>523</v>
      </c>
      <c r="F153" s="4">
        <v>195500065147</v>
      </c>
      <c r="G153" s="2" t="s">
        <v>171</v>
      </c>
      <c r="H153" s="2" t="s">
        <v>13</v>
      </c>
      <c r="I153" s="3">
        <v>45776</v>
      </c>
      <c r="J153" s="2">
        <v>18389.55</v>
      </c>
      <c r="K153" s="2">
        <v>18389.55</v>
      </c>
      <c r="L153" s="2">
        <v>203</v>
      </c>
      <c r="M153" s="2"/>
      <c r="N153" s="2"/>
    </row>
    <row r="154" spans="1:14">
      <c r="A154" s="2">
        <v>5</v>
      </c>
      <c r="B154" s="2">
        <f t="shared" si="2"/>
        <v>19553</v>
      </c>
      <c r="C154" s="2" t="s">
        <v>124</v>
      </c>
      <c r="D154" s="2" t="s">
        <v>422</v>
      </c>
      <c r="E154" s="2" t="s">
        <v>523</v>
      </c>
      <c r="F154" s="4">
        <v>195530000953</v>
      </c>
      <c r="G154" s="2" t="s">
        <v>172</v>
      </c>
      <c r="H154" s="2" t="s">
        <v>12</v>
      </c>
      <c r="I154" s="3">
        <v>45719</v>
      </c>
      <c r="J154" s="2">
        <v>6438.29</v>
      </c>
      <c r="K154" s="2">
        <v>7042.65</v>
      </c>
      <c r="L154" s="2">
        <v>260</v>
      </c>
      <c r="M154" s="2"/>
      <c r="N154" s="2"/>
    </row>
    <row r="155" spans="1:14">
      <c r="A155" s="2">
        <v>5</v>
      </c>
      <c r="B155" s="2">
        <f t="shared" si="2"/>
        <v>19555</v>
      </c>
      <c r="C155" s="2" t="s">
        <v>124</v>
      </c>
      <c r="D155" s="2" t="s">
        <v>423</v>
      </c>
      <c r="E155" s="2" t="s">
        <v>523</v>
      </c>
      <c r="F155" s="4">
        <v>195550070281</v>
      </c>
      <c r="G155" s="2" t="s">
        <v>173</v>
      </c>
      <c r="H155" s="2" t="s">
        <v>13</v>
      </c>
      <c r="I155" s="3">
        <v>45776</v>
      </c>
      <c r="J155" s="2">
        <v>5623.97</v>
      </c>
      <c r="K155" s="2">
        <v>6137.8</v>
      </c>
      <c r="L155" s="2">
        <v>203</v>
      </c>
      <c r="M155" s="2"/>
      <c r="N155" s="2"/>
    </row>
    <row r="156" spans="1:14">
      <c r="A156" s="2">
        <v>5</v>
      </c>
      <c r="B156" s="2">
        <f t="shared" si="2"/>
        <v>19550</v>
      </c>
      <c r="C156" s="2" t="s">
        <v>124</v>
      </c>
      <c r="D156" s="2" t="s">
        <v>421</v>
      </c>
      <c r="E156" s="2" t="s">
        <v>523</v>
      </c>
      <c r="F156" s="4">
        <v>195500002439</v>
      </c>
      <c r="G156" s="2" t="s">
        <v>174</v>
      </c>
      <c r="H156" s="2" t="s">
        <v>12</v>
      </c>
      <c r="I156" s="3">
        <v>45871</v>
      </c>
      <c r="J156" s="2">
        <v>8904.84</v>
      </c>
      <c r="K156" s="2">
        <v>8904.84</v>
      </c>
      <c r="L156" s="2">
        <v>108</v>
      </c>
      <c r="M156" s="2"/>
      <c r="N156" s="2"/>
    </row>
    <row r="157" spans="1:14">
      <c r="A157" s="2">
        <v>5</v>
      </c>
      <c r="B157" s="2">
        <f t="shared" si="2"/>
        <v>19691</v>
      </c>
      <c r="C157" s="2" t="s">
        <v>124</v>
      </c>
      <c r="D157" s="2" t="s">
        <v>399</v>
      </c>
      <c r="E157" s="2" t="s">
        <v>516</v>
      </c>
      <c r="F157" s="4">
        <v>196911926239</v>
      </c>
      <c r="G157" s="2" t="s">
        <v>175</v>
      </c>
      <c r="H157" s="2" t="s">
        <v>12</v>
      </c>
      <c r="I157" s="3">
        <v>45883</v>
      </c>
      <c r="J157" s="2">
        <v>7538.58</v>
      </c>
      <c r="K157" s="2">
        <v>9639.5300000000007</v>
      </c>
      <c r="L157" s="2">
        <v>96</v>
      </c>
      <c r="M157" s="2"/>
      <c r="N157" s="2"/>
    </row>
    <row r="158" spans="1:14">
      <c r="A158" s="2">
        <v>5</v>
      </c>
      <c r="B158" s="2">
        <f t="shared" si="2"/>
        <v>19691</v>
      </c>
      <c r="C158" s="2" t="s">
        <v>124</v>
      </c>
      <c r="D158" s="2" t="s">
        <v>399</v>
      </c>
      <c r="E158" s="2" t="s">
        <v>516</v>
      </c>
      <c r="F158" s="4">
        <v>196911934240</v>
      </c>
      <c r="G158" s="2" t="s">
        <v>176</v>
      </c>
      <c r="H158" s="2" t="s">
        <v>13</v>
      </c>
      <c r="I158" s="3">
        <v>45776</v>
      </c>
      <c r="J158" s="2">
        <v>12028.81</v>
      </c>
      <c r="K158" s="2">
        <v>12503.36</v>
      </c>
      <c r="L158" s="2">
        <v>203</v>
      </c>
      <c r="M158" s="2"/>
      <c r="N158" s="2"/>
    </row>
    <row r="159" spans="1:14">
      <c r="A159" s="2">
        <v>5</v>
      </c>
      <c r="B159" s="2">
        <f t="shared" si="2"/>
        <v>19692</v>
      </c>
      <c r="C159" s="2" t="s">
        <v>124</v>
      </c>
      <c r="D159" s="2" t="s">
        <v>329</v>
      </c>
      <c r="E159" s="2" t="s">
        <v>516</v>
      </c>
      <c r="F159" s="4">
        <v>196920127349</v>
      </c>
      <c r="G159" s="2" t="s">
        <v>177</v>
      </c>
      <c r="H159" s="2" t="s">
        <v>12</v>
      </c>
      <c r="I159" s="3">
        <v>45724</v>
      </c>
      <c r="J159" s="2">
        <v>8016.3</v>
      </c>
      <c r="K159" s="2">
        <v>8267.15</v>
      </c>
      <c r="L159" s="2">
        <v>255</v>
      </c>
      <c r="M159" s="3">
        <v>45969</v>
      </c>
      <c r="N159" s="2"/>
    </row>
    <row r="160" spans="1:14">
      <c r="A160" s="2">
        <v>5</v>
      </c>
      <c r="B160" s="2">
        <f t="shared" si="2"/>
        <v>19693</v>
      </c>
      <c r="C160" s="2" t="s">
        <v>124</v>
      </c>
      <c r="D160" s="2" t="s">
        <v>405</v>
      </c>
      <c r="E160" s="2" t="s">
        <v>516</v>
      </c>
      <c r="F160" s="4">
        <v>196930001963</v>
      </c>
      <c r="G160" s="2" t="s">
        <v>178</v>
      </c>
      <c r="H160" s="2" t="s">
        <v>12</v>
      </c>
      <c r="I160" s="3">
        <v>45719</v>
      </c>
      <c r="J160" s="2">
        <v>11792.53</v>
      </c>
      <c r="K160" s="2">
        <v>11922.53</v>
      </c>
      <c r="L160" s="2">
        <v>260</v>
      </c>
      <c r="M160" s="3">
        <v>45975</v>
      </c>
      <c r="N160" s="2"/>
    </row>
    <row r="161" spans="1:14">
      <c r="A161" s="2">
        <v>5</v>
      </c>
      <c r="B161" s="2">
        <f t="shared" si="2"/>
        <v>19693</v>
      </c>
      <c r="C161" s="2" t="s">
        <v>124</v>
      </c>
      <c r="D161" s="2" t="s">
        <v>405</v>
      </c>
      <c r="E161" s="2" t="s">
        <v>516</v>
      </c>
      <c r="F161" s="4">
        <v>196930001521</v>
      </c>
      <c r="G161" s="2" t="s">
        <v>179</v>
      </c>
      <c r="H161" s="2" t="s">
        <v>10</v>
      </c>
      <c r="I161" s="3">
        <v>45913</v>
      </c>
      <c r="J161" s="2">
        <v>12422.62</v>
      </c>
      <c r="K161" s="2">
        <v>15737.36</v>
      </c>
      <c r="L161" s="2">
        <v>66</v>
      </c>
      <c r="M161" s="2"/>
      <c r="N161" s="2"/>
    </row>
    <row r="162" spans="1:14">
      <c r="A162" s="2">
        <v>5</v>
      </c>
      <c r="B162" s="2">
        <f t="shared" si="2"/>
        <v>19693</v>
      </c>
      <c r="C162" s="2" t="s">
        <v>124</v>
      </c>
      <c r="D162" s="2" t="s">
        <v>405</v>
      </c>
      <c r="E162" s="2" t="s">
        <v>516</v>
      </c>
      <c r="F162" s="4">
        <v>196931908822</v>
      </c>
      <c r="G162" s="2" t="s">
        <v>180</v>
      </c>
      <c r="H162" s="2" t="s">
        <v>12</v>
      </c>
      <c r="I162" s="3">
        <v>45725</v>
      </c>
      <c r="J162" s="2">
        <v>8371.77</v>
      </c>
      <c r="K162" s="2">
        <v>8501.77</v>
      </c>
      <c r="L162" s="2">
        <v>254</v>
      </c>
      <c r="M162" s="3">
        <v>45969</v>
      </c>
      <c r="N162" s="2"/>
    </row>
    <row r="163" spans="1:14">
      <c r="A163" s="2">
        <v>5</v>
      </c>
      <c r="B163" s="2">
        <f t="shared" si="2"/>
        <v>19501</v>
      </c>
      <c r="C163" s="2" t="s">
        <v>124</v>
      </c>
      <c r="D163" s="2" t="s">
        <v>124</v>
      </c>
      <c r="E163" s="2" t="s">
        <v>515</v>
      </c>
      <c r="F163" s="4">
        <v>195010006789</v>
      </c>
      <c r="G163" s="2" t="s">
        <v>181</v>
      </c>
      <c r="H163" s="2" t="s">
        <v>10</v>
      </c>
      <c r="I163" s="3">
        <v>45927</v>
      </c>
      <c r="J163" s="2">
        <v>5268.63</v>
      </c>
      <c r="K163" s="2">
        <v>9296.1299999999992</v>
      </c>
      <c r="L163" s="2">
        <v>52</v>
      </c>
      <c r="M163" s="2"/>
      <c r="N163" s="2"/>
    </row>
    <row r="164" spans="1:14">
      <c r="A164" s="2">
        <v>5</v>
      </c>
      <c r="B164" s="2">
        <f t="shared" si="2"/>
        <v>19501</v>
      </c>
      <c r="C164" s="2" t="s">
        <v>124</v>
      </c>
      <c r="D164" s="2" t="s">
        <v>124</v>
      </c>
      <c r="E164" s="2" t="s">
        <v>515</v>
      </c>
      <c r="F164" s="4">
        <v>195011988330</v>
      </c>
      <c r="G164" s="2" t="s">
        <v>182</v>
      </c>
      <c r="H164" s="2" t="s">
        <v>12</v>
      </c>
      <c r="I164" s="3">
        <v>45880</v>
      </c>
      <c r="J164" s="2">
        <v>5554.86</v>
      </c>
      <c r="K164" s="2">
        <v>5554.86</v>
      </c>
      <c r="L164" s="2">
        <v>99</v>
      </c>
      <c r="M164" s="2"/>
      <c r="N164" s="2"/>
    </row>
    <row r="165" spans="1:14">
      <c r="A165" s="2">
        <v>5</v>
      </c>
      <c r="B165" s="2">
        <f t="shared" si="2"/>
        <v>19501</v>
      </c>
      <c r="C165" s="2" t="s">
        <v>124</v>
      </c>
      <c r="D165" s="2" t="s">
        <v>124</v>
      </c>
      <c r="E165" s="2" t="s">
        <v>515</v>
      </c>
      <c r="F165" s="4">
        <v>195010003224</v>
      </c>
      <c r="G165" s="2" t="s">
        <v>183</v>
      </c>
      <c r="H165" s="2" t="s">
        <v>13</v>
      </c>
      <c r="I165" s="3">
        <v>45713</v>
      </c>
      <c r="J165" s="2">
        <v>10757.65</v>
      </c>
      <c r="K165" s="2">
        <v>12233.71</v>
      </c>
      <c r="L165" s="2">
        <v>266</v>
      </c>
      <c r="M165" s="2"/>
      <c r="N165" s="2"/>
    </row>
    <row r="166" spans="1:14">
      <c r="A166" s="2">
        <v>5</v>
      </c>
      <c r="B166" s="2">
        <f t="shared" si="2"/>
        <v>19501</v>
      </c>
      <c r="C166" s="2" t="s">
        <v>124</v>
      </c>
      <c r="D166" s="2" t="s">
        <v>124</v>
      </c>
      <c r="E166" s="2" t="s">
        <v>515</v>
      </c>
      <c r="F166" s="4">
        <v>195010052314</v>
      </c>
      <c r="G166" s="2" t="s">
        <v>184</v>
      </c>
      <c r="H166" s="2" t="s">
        <v>13</v>
      </c>
      <c r="I166" s="3">
        <v>45776</v>
      </c>
      <c r="J166" s="2">
        <v>9646.2199999999993</v>
      </c>
      <c r="K166" s="2">
        <v>10204.24</v>
      </c>
      <c r="L166" s="2">
        <v>203</v>
      </c>
      <c r="M166" s="2"/>
      <c r="N166" s="2"/>
    </row>
    <row r="167" spans="1:14">
      <c r="A167" s="2">
        <v>5</v>
      </c>
      <c r="B167" s="2">
        <f t="shared" si="2"/>
        <v>19501</v>
      </c>
      <c r="C167" s="2" t="s">
        <v>124</v>
      </c>
      <c r="D167" s="2" t="s">
        <v>124</v>
      </c>
      <c r="E167" s="2" t="s">
        <v>515</v>
      </c>
      <c r="F167" s="4">
        <v>195010003411</v>
      </c>
      <c r="G167" s="2" t="s">
        <v>185</v>
      </c>
      <c r="H167" s="2" t="s">
        <v>12</v>
      </c>
      <c r="I167" s="3">
        <v>45740</v>
      </c>
      <c r="J167" s="2">
        <v>13033.09</v>
      </c>
      <c r="K167" s="2">
        <v>13190.56</v>
      </c>
      <c r="L167" s="2">
        <v>239</v>
      </c>
      <c r="M167" s="2"/>
      <c r="N167" s="2"/>
    </row>
    <row r="168" spans="1:14">
      <c r="A168" s="2">
        <v>5</v>
      </c>
      <c r="B168" s="2">
        <f t="shared" si="2"/>
        <v>19501</v>
      </c>
      <c r="C168" s="2" t="s">
        <v>124</v>
      </c>
      <c r="D168" s="2" t="s">
        <v>124</v>
      </c>
      <c r="E168" s="2" t="s">
        <v>515</v>
      </c>
      <c r="F168" s="4">
        <v>195010010913</v>
      </c>
      <c r="G168" s="2" t="s">
        <v>186</v>
      </c>
      <c r="H168" s="2" t="s">
        <v>12</v>
      </c>
      <c r="I168" s="3">
        <v>45904</v>
      </c>
      <c r="J168" s="2">
        <v>5226.96</v>
      </c>
      <c r="K168" s="2">
        <v>5226.96</v>
      </c>
      <c r="L168" s="2">
        <v>75</v>
      </c>
      <c r="M168" s="2"/>
      <c r="N168" s="2"/>
    </row>
    <row r="169" spans="1:14">
      <c r="A169" s="2">
        <v>5</v>
      </c>
      <c r="B169" s="2">
        <f t="shared" si="2"/>
        <v>19501</v>
      </c>
      <c r="C169" s="2" t="s">
        <v>124</v>
      </c>
      <c r="D169" s="2" t="s">
        <v>124</v>
      </c>
      <c r="E169" s="2" t="s">
        <v>515</v>
      </c>
      <c r="F169" s="4">
        <v>195010004018</v>
      </c>
      <c r="G169" s="2" t="s">
        <v>187</v>
      </c>
      <c r="H169" s="2" t="s">
        <v>10</v>
      </c>
      <c r="I169" s="3">
        <v>45726</v>
      </c>
      <c r="J169" s="2">
        <v>12426.4</v>
      </c>
      <c r="K169" s="2">
        <v>14137.45</v>
      </c>
      <c r="L169" s="2">
        <v>253</v>
      </c>
      <c r="M169" s="2"/>
      <c r="N169" s="2"/>
    </row>
    <row r="170" spans="1:14">
      <c r="A170" s="2">
        <v>5</v>
      </c>
      <c r="B170" s="2">
        <f t="shared" si="2"/>
        <v>19501</v>
      </c>
      <c r="C170" s="2" t="s">
        <v>124</v>
      </c>
      <c r="D170" s="2" t="s">
        <v>124</v>
      </c>
      <c r="E170" s="2" t="s">
        <v>515</v>
      </c>
      <c r="F170" s="4">
        <v>195011937379</v>
      </c>
      <c r="G170" s="2" t="s">
        <v>155</v>
      </c>
      <c r="H170" s="2" t="s">
        <v>13</v>
      </c>
      <c r="I170" s="3">
        <v>45776</v>
      </c>
      <c r="J170" s="2">
        <v>10976.99</v>
      </c>
      <c r="K170" s="2">
        <v>10976.99</v>
      </c>
      <c r="L170" s="2">
        <v>203</v>
      </c>
      <c r="M170" s="2"/>
      <c r="N170" s="2"/>
    </row>
    <row r="171" spans="1:14">
      <c r="A171" s="2">
        <v>5</v>
      </c>
      <c r="B171" s="2">
        <f t="shared" si="2"/>
        <v>19501</v>
      </c>
      <c r="C171" s="2" t="s">
        <v>124</v>
      </c>
      <c r="D171" s="2" t="s">
        <v>124</v>
      </c>
      <c r="E171" s="2" t="s">
        <v>515</v>
      </c>
      <c r="F171" s="4">
        <v>195011951975</v>
      </c>
      <c r="G171" s="2" t="s">
        <v>188</v>
      </c>
      <c r="H171" s="2" t="s">
        <v>10</v>
      </c>
      <c r="I171" s="3">
        <v>45785</v>
      </c>
      <c r="J171" s="2">
        <v>5103.3999999999996</v>
      </c>
      <c r="K171" s="2">
        <v>5623.4</v>
      </c>
      <c r="L171" s="2">
        <v>194</v>
      </c>
      <c r="M171" s="3">
        <v>45890</v>
      </c>
      <c r="N171" s="2"/>
    </row>
    <row r="172" spans="1:14">
      <c r="A172" s="2">
        <v>5</v>
      </c>
      <c r="B172" s="2">
        <f t="shared" si="2"/>
        <v>19501</v>
      </c>
      <c r="C172" s="2" t="s">
        <v>124</v>
      </c>
      <c r="D172" s="2" t="s">
        <v>124</v>
      </c>
      <c r="E172" s="2" t="s">
        <v>515</v>
      </c>
      <c r="F172" s="4">
        <v>195010003275</v>
      </c>
      <c r="G172" s="2" t="s">
        <v>189</v>
      </c>
      <c r="H172" s="2" t="s">
        <v>12</v>
      </c>
      <c r="I172" s="3">
        <v>45735</v>
      </c>
      <c r="J172" s="2">
        <v>6404.51</v>
      </c>
      <c r="K172" s="2">
        <v>6534.51</v>
      </c>
      <c r="L172" s="2">
        <v>244</v>
      </c>
      <c r="M172" s="3">
        <v>45890</v>
      </c>
      <c r="N172" s="2"/>
    </row>
    <row r="173" spans="1:14">
      <c r="A173" s="2">
        <v>5</v>
      </c>
      <c r="B173" s="2">
        <f t="shared" si="2"/>
        <v>19501</v>
      </c>
      <c r="C173" s="2" t="s">
        <v>124</v>
      </c>
      <c r="D173" s="2" t="s">
        <v>124</v>
      </c>
      <c r="E173" s="2" t="s">
        <v>515</v>
      </c>
      <c r="F173" s="4">
        <v>195010052438</v>
      </c>
      <c r="G173" s="2" t="s">
        <v>190</v>
      </c>
      <c r="H173" s="2" t="s">
        <v>12</v>
      </c>
      <c r="I173" s="3">
        <v>45915</v>
      </c>
      <c r="J173" s="2">
        <v>11137.44</v>
      </c>
      <c r="K173" s="2">
        <v>15330.81</v>
      </c>
      <c r="L173" s="2">
        <v>64</v>
      </c>
      <c r="M173" s="2"/>
      <c r="N173" s="2"/>
    </row>
    <row r="174" spans="1:14">
      <c r="A174" s="2">
        <v>5</v>
      </c>
      <c r="B174" s="2">
        <f t="shared" si="2"/>
        <v>19501</v>
      </c>
      <c r="C174" s="2" t="s">
        <v>124</v>
      </c>
      <c r="D174" s="2" t="s">
        <v>124</v>
      </c>
      <c r="E174" s="2" t="s">
        <v>515</v>
      </c>
      <c r="F174" s="4">
        <v>195011939835</v>
      </c>
      <c r="G174" s="2" t="s">
        <v>191</v>
      </c>
      <c r="H174" s="2" t="s">
        <v>13</v>
      </c>
      <c r="I174" s="3">
        <v>45708</v>
      </c>
      <c r="J174" s="2">
        <v>9282.99</v>
      </c>
      <c r="K174" s="2">
        <v>10204.67</v>
      </c>
      <c r="L174" s="2">
        <v>271</v>
      </c>
      <c r="M174" s="2"/>
      <c r="N174" s="2"/>
    </row>
    <row r="175" spans="1:14">
      <c r="A175" s="2">
        <v>5</v>
      </c>
      <c r="B175" s="2">
        <f t="shared" si="2"/>
        <v>19547</v>
      </c>
      <c r="C175" s="2" t="s">
        <v>124</v>
      </c>
      <c r="D175" s="2" t="s">
        <v>424</v>
      </c>
      <c r="E175" s="2" t="s">
        <v>524</v>
      </c>
      <c r="F175" s="4">
        <v>195470000851</v>
      </c>
      <c r="G175" s="2" t="s">
        <v>192</v>
      </c>
      <c r="H175" s="2" t="s">
        <v>12</v>
      </c>
      <c r="I175" s="3">
        <v>45738</v>
      </c>
      <c r="J175" s="2">
        <v>5373.58</v>
      </c>
      <c r="K175" s="2">
        <v>5373.58</v>
      </c>
      <c r="L175" s="2">
        <v>241</v>
      </c>
      <c r="M175" s="2"/>
      <c r="N175" s="2"/>
    </row>
    <row r="176" spans="1:14">
      <c r="A176" s="2">
        <v>5</v>
      </c>
      <c r="B176" s="2">
        <f t="shared" si="2"/>
        <v>19547</v>
      </c>
      <c r="C176" s="2" t="s">
        <v>124</v>
      </c>
      <c r="D176" s="2" t="s">
        <v>424</v>
      </c>
      <c r="E176" s="2" t="s">
        <v>524</v>
      </c>
      <c r="F176" s="4">
        <v>195470062334</v>
      </c>
      <c r="G176" s="2" t="s">
        <v>193</v>
      </c>
      <c r="H176" s="2" t="s">
        <v>13</v>
      </c>
      <c r="I176" s="3">
        <v>45776</v>
      </c>
      <c r="J176" s="2">
        <v>14701.59</v>
      </c>
      <c r="K176" s="2">
        <v>14701.59</v>
      </c>
      <c r="L176" s="2">
        <v>203</v>
      </c>
      <c r="M176" s="2"/>
      <c r="N176" s="2"/>
    </row>
    <row r="177" spans="1:14">
      <c r="A177" s="2">
        <v>5</v>
      </c>
      <c r="B177" s="2">
        <f t="shared" si="2"/>
        <v>19530</v>
      </c>
      <c r="C177" s="2" t="s">
        <v>124</v>
      </c>
      <c r="D177" s="2" t="s">
        <v>425</v>
      </c>
      <c r="E177" s="2" t="s">
        <v>524</v>
      </c>
      <c r="F177" s="4">
        <v>195301943682</v>
      </c>
      <c r="G177" s="2" t="s">
        <v>194</v>
      </c>
      <c r="H177" s="2" t="s">
        <v>12</v>
      </c>
      <c r="I177" s="3">
        <v>45917</v>
      </c>
      <c r="J177" s="2">
        <v>6178.82</v>
      </c>
      <c r="K177" s="2">
        <v>8090.21</v>
      </c>
      <c r="L177" s="2">
        <v>62</v>
      </c>
      <c r="M177" s="2"/>
      <c r="N177" s="2"/>
    </row>
    <row r="178" spans="1:14">
      <c r="A178" s="2">
        <v>5</v>
      </c>
      <c r="B178" s="2">
        <f t="shared" si="2"/>
        <v>19530</v>
      </c>
      <c r="C178" s="2" t="s">
        <v>124</v>
      </c>
      <c r="D178" s="2" t="s">
        <v>425</v>
      </c>
      <c r="E178" s="2" t="s">
        <v>524</v>
      </c>
      <c r="F178" s="4">
        <v>195300000784</v>
      </c>
      <c r="G178" s="2" t="s">
        <v>195</v>
      </c>
      <c r="H178" s="2" t="s">
        <v>13</v>
      </c>
      <c r="I178" s="3">
        <v>45776</v>
      </c>
      <c r="J178" s="2">
        <v>12183.2</v>
      </c>
      <c r="K178" s="2">
        <v>12657.75</v>
      </c>
      <c r="L178" s="2">
        <v>203</v>
      </c>
      <c r="M178" s="2"/>
      <c r="N178" s="2"/>
    </row>
    <row r="179" spans="1:14">
      <c r="A179" s="2">
        <v>5</v>
      </c>
      <c r="B179" s="2">
        <f t="shared" si="2"/>
        <v>19548</v>
      </c>
      <c r="C179" s="2" t="s">
        <v>124</v>
      </c>
      <c r="D179" s="2" t="s">
        <v>426</v>
      </c>
      <c r="E179" s="2" t="s">
        <v>519</v>
      </c>
      <c r="F179" s="4">
        <v>195481950860</v>
      </c>
      <c r="G179" s="2" t="s">
        <v>196</v>
      </c>
      <c r="H179" s="2" t="s">
        <v>13</v>
      </c>
      <c r="I179" s="3">
        <v>45569</v>
      </c>
      <c r="J179" s="2">
        <v>13247.73</v>
      </c>
      <c r="K179" s="2">
        <v>13247.73</v>
      </c>
      <c r="L179" s="2">
        <v>410</v>
      </c>
      <c r="M179" s="2"/>
      <c r="N179" s="2"/>
    </row>
    <row r="180" spans="1:14">
      <c r="A180" s="2">
        <v>5</v>
      </c>
      <c r="B180" s="2">
        <f t="shared" si="2"/>
        <v>19548</v>
      </c>
      <c r="C180" s="2" t="s">
        <v>124</v>
      </c>
      <c r="D180" s="2" t="s">
        <v>426</v>
      </c>
      <c r="E180" s="2" t="s">
        <v>519</v>
      </c>
      <c r="F180" s="4">
        <v>195481907395</v>
      </c>
      <c r="G180" s="2" t="s">
        <v>197</v>
      </c>
      <c r="H180" s="2" t="s">
        <v>13</v>
      </c>
      <c r="I180" s="3">
        <v>45776</v>
      </c>
      <c r="J180" s="2">
        <v>15164.7</v>
      </c>
      <c r="K180" s="2">
        <v>15164.7</v>
      </c>
      <c r="L180" s="2">
        <v>203</v>
      </c>
      <c r="M180" s="2"/>
      <c r="N180" s="2"/>
    </row>
    <row r="181" spans="1:14">
      <c r="A181" s="2">
        <v>5</v>
      </c>
      <c r="B181" s="2">
        <f t="shared" si="2"/>
        <v>19548</v>
      </c>
      <c r="C181" s="2" t="s">
        <v>124</v>
      </c>
      <c r="D181" s="2" t="s">
        <v>426</v>
      </c>
      <c r="E181" s="2" t="s">
        <v>519</v>
      </c>
      <c r="F181" s="4">
        <v>195480001775</v>
      </c>
      <c r="G181" s="2" t="s">
        <v>198</v>
      </c>
      <c r="H181" s="2" t="s">
        <v>13</v>
      </c>
      <c r="I181" s="3">
        <v>45776</v>
      </c>
      <c r="J181" s="2">
        <v>7345.28</v>
      </c>
      <c r="K181" s="2">
        <v>7345.28</v>
      </c>
      <c r="L181" s="2">
        <v>203</v>
      </c>
      <c r="M181" s="2"/>
      <c r="N181" s="2"/>
    </row>
    <row r="182" spans="1:14">
      <c r="A182" s="2">
        <v>5</v>
      </c>
      <c r="B182" s="2">
        <f t="shared" si="2"/>
        <v>19551</v>
      </c>
      <c r="C182" s="2" t="s">
        <v>124</v>
      </c>
      <c r="D182" s="2" t="s">
        <v>427</v>
      </c>
      <c r="E182" s="2" t="s">
        <v>525</v>
      </c>
      <c r="F182" s="4">
        <v>195510000680</v>
      </c>
      <c r="G182" s="2" t="s">
        <v>199</v>
      </c>
      <c r="H182" s="2" t="s">
        <v>13</v>
      </c>
      <c r="I182" s="3">
        <v>45776</v>
      </c>
      <c r="J182" s="2">
        <v>5607.89</v>
      </c>
      <c r="K182" s="2">
        <v>5607.89</v>
      </c>
      <c r="L182" s="2">
        <v>203</v>
      </c>
      <c r="M182" s="2"/>
      <c r="N182" s="2"/>
    </row>
    <row r="183" spans="1:14">
      <c r="A183" s="2">
        <v>5</v>
      </c>
      <c r="B183" s="2">
        <f t="shared" si="2"/>
        <v>19663</v>
      </c>
      <c r="C183" s="2" t="s">
        <v>124</v>
      </c>
      <c r="D183" s="2" t="s">
        <v>400</v>
      </c>
      <c r="E183" s="2" t="s">
        <v>517</v>
      </c>
      <c r="F183" s="4">
        <v>196630000621</v>
      </c>
      <c r="G183" s="2" t="s">
        <v>200</v>
      </c>
      <c r="H183" s="2" t="s">
        <v>13</v>
      </c>
      <c r="I183" s="3">
        <v>45776</v>
      </c>
      <c r="J183" s="2">
        <v>9319.67</v>
      </c>
      <c r="K183" s="2">
        <v>9779.49</v>
      </c>
      <c r="L183" s="2">
        <v>203</v>
      </c>
      <c r="M183" s="2"/>
      <c r="N183" s="2"/>
    </row>
    <row r="184" spans="1:14">
      <c r="A184" s="2">
        <v>5</v>
      </c>
      <c r="B184" s="2">
        <f t="shared" si="2"/>
        <v>19662</v>
      </c>
      <c r="C184" s="2" t="s">
        <v>124</v>
      </c>
      <c r="D184" s="2" t="s">
        <v>428</v>
      </c>
      <c r="E184" s="2" t="s">
        <v>517</v>
      </c>
      <c r="F184" s="4">
        <v>196620000703</v>
      </c>
      <c r="G184" s="2" t="s">
        <v>201</v>
      </c>
      <c r="H184" s="2" t="s">
        <v>13</v>
      </c>
      <c r="I184" s="3">
        <v>45776</v>
      </c>
      <c r="J184" s="2">
        <v>9392.98</v>
      </c>
      <c r="K184" s="2">
        <v>9392.98</v>
      </c>
      <c r="L184" s="2">
        <v>203</v>
      </c>
      <c r="M184" s="2"/>
      <c r="N184" s="2"/>
    </row>
    <row r="185" spans="1:14">
      <c r="A185" s="2">
        <v>5</v>
      </c>
      <c r="B185" s="2">
        <f t="shared" si="2"/>
        <v>19683</v>
      </c>
      <c r="C185" s="2" t="s">
        <v>124</v>
      </c>
      <c r="D185" s="2" t="s">
        <v>429</v>
      </c>
      <c r="E185" s="2" t="s">
        <v>517</v>
      </c>
      <c r="F185" s="4">
        <v>196830000633</v>
      </c>
      <c r="G185" s="2" t="s">
        <v>202</v>
      </c>
      <c r="H185" s="2" t="s">
        <v>13</v>
      </c>
      <c r="I185" s="3">
        <v>45776</v>
      </c>
      <c r="J185" s="2">
        <v>13856.53</v>
      </c>
      <c r="K185" s="2">
        <v>14306.53</v>
      </c>
      <c r="L185" s="2">
        <v>203</v>
      </c>
      <c r="M185" s="2"/>
      <c r="N185" s="2"/>
    </row>
    <row r="186" spans="1:14">
      <c r="A186" s="2">
        <v>5</v>
      </c>
      <c r="B186" s="2">
        <f t="shared" si="2"/>
        <v>19653</v>
      </c>
      <c r="C186" s="2" t="s">
        <v>124</v>
      </c>
      <c r="D186" s="2" t="s">
        <v>430</v>
      </c>
      <c r="E186" s="2" t="s">
        <v>517</v>
      </c>
      <c r="F186" s="4">
        <v>196531905646</v>
      </c>
      <c r="G186" s="2" t="s">
        <v>203</v>
      </c>
      <c r="H186" s="2" t="s">
        <v>13</v>
      </c>
      <c r="I186" s="3">
        <v>45776</v>
      </c>
      <c r="J186" s="2">
        <v>6260.54</v>
      </c>
      <c r="K186" s="2">
        <v>6813.65</v>
      </c>
      <c r="L186" s="2">
        <v>203</v>
      </c>
      <c r="M186" s="2"/>
      <c r="N186" s="2"/>
    </row>
    <row r="187" spans="1:14">
      <c r="A187" s="2">
        <v>5</v>
      </c>
      <c r="B187" s="2">
        <f t="shared" si="2"/>
        <v>19661</v>
      </c>
      <c r="C187" s="2" t="s">
        <v>124</v>
      </c>
      <c r="D187" s="2" t="s">
        <v>431</v>
      </c>
      <c r="E187" s="2" t="s">
        <v>524</v>
      </c>
      <c r="F187" s="4">
        <v>196611939789</v>
      </c>
      <c r="G187" s="2" t="s">
        <v>204</v>
      </c>
      <c r="H187" s="2" t="s">
        <v>13</v>
      </c>
      <c r="I187" s="3">
        <v>45776</v>
      </c>
      <c r="J187" s="2">
        <v>9196.9</v>
      </c>
      <c r="K187" s="2">
        <v>9196.9</v>
      </c>
      <c r="L187" s="2">
        <v>203</v>
      </c>
      <c r="M187" s="2"/>
      <c r="N187" s="2"/>
    </row>
    <row r="188" spans="1:14">
      <c r="A188" s="2">
        <v>5</v>
      </c>
      <c r="B188" s="2">
        <f t="shared" si="2"/>
        <v>19607</v>
      </c>
      <c r="C188" s="2" t="s">
        <v>124</v>
      </c>
      <c r="D188" s="2" t="s">
        <v>432</v>
      </c>
      <c r="E188" s="2" t="s">
        <v>524</v>
      </c>
      <c r="F188" s="4">
        <v>196071937471</v>
      </c>
      <c r="G188" s="2" t="s">
        <v>155</v>
      </c>
      <c r="H188" s="2" t="s">
        <v>13</v>
      </c>
      <c r="I188" s="3">
        <v>45776</v>
      </c>
      <c r="J188" s="2">
        <v>10238.09</v>
      </c>
      <c r="K188" s="2">
        <v>10693</v>
      </c>
      <c r="L188" s="2">
        <v>203</v>
      </c>
      <c r="M188" s="2"/>
      <c r="N188" s="2"/>
    </row>
    <row r="189" spans="1:14">
      <c r="A189" s="2">
        <v>5</v>
      </c>
      <c r="B189" s="2">
        <f t="shared" si="2"/>
        <v>19501</v>
      </c>
      <c r="C189" s="2" t="s">
        <v>124</v>
      </c>
      <c r="D189" s="2" t="s">
        <v>124</v>
      </c>
      <c r="E189" s="2" t="s">
        <v>515</v>
      </c>
      <c r="F189" s="4">
        <v>195010052101</v>
      </c>
      <c r="G189" s="2" t="s">
        <v>205</v>
      </c>
      <c r="H189" s="2" t="s">
        <v>13</v>
      </c>
      <c r="I189" s="3">
        <v>45776</v>
      </c>
      <c r="J189" s="2">
        <v>8428.76</v>
      </c>
      <c r="K189" s="2">
        <v>8428.76</v>
      </c>
      <c r="L189" s="2">
        <v>203</v>
      </c>
      <c r="M189" s="2"/>
      <c r="N189" s="2"/>
    </row>
    <row r="190" spans="1:14">
      <c r="A190" s="2">
        <v>5</v>
      </c>
      <c r="B190" s="2">
        <f t="shared" si="2"/>
        <v>19501</v>
      </c>
      <c r="C190" s="2" t="s">
        <v>124</v>
      </c>
      <c r="D190" s="2" t="s">
        <v>124</v>
      </c>
      <c r="E190" s="2" t="s">
        <v>515</v>
      </c>
      <c r="F190" s="4">
        <v>195018922377</v>
      </c>
      <c r="G190" s="2" t="s">
        <v>206</v>
      </c>
      <c r="H190" s="2" t="s">
        <v>10</v>
      </c>
      <c r="I190" s="3">
        <v>45733</v>
      </c>
      <c r="J190" s="2">
        <v>6336.52</v>
      </c>
      <c r="K190" s="2">
        <v>6336.52</v>
      </c>
      <c r="L190" s="2">
        <v>246</v>
      </c>
      <c r="M190" s="3">
        <v>45890</v>
      </c>
      <c r="N190" s="2"/>
    </row>
    <row r="191" spans="1:14">
      <c r="A191" s="2">
        <v>5</v>
      </c>
      <c r="B191" s="2">
        <f t="shared" si="2"/>
        <v>19501</v>
      </c>
      <c r="C191" s="2" t="s">
        <v>124</v>
      </c>
      <c r="D191" s="2" t="s">
        <v>124</v>
      </c>
      <c r="E191" s="2" t="s">
        <v>515</v>
      </c>
      <c r="F191" s="4">
        <v>195010003810</v>
      </c>
      <c r="G191" s="2" t="s">
        <v>207</v>
      </c>
      <c r="H191" s="2" t="s">
        <v>12</v>
      </c>
      <c r="I191" s="3">
        <v>45937</v>
      </c>
      <c r="J191" s="2">
        <v>7169.13</v>
      </c>
      <c r="K191" s="2">
        <v>7169.13</v>
      </c>
      <c r="L191" s="2">
        <v>42</v>
      </c>
      <c r="M191" s="2"/>
      <c r="N191" s="2"/>
    </row>
    <row r="192" spans="1:14">
      <c r="A192" s="2">
        <v>5</v>
      </c>
      <c r="B192" s="2">
        <f t="shared" si="2"/>
        <v>18717</v>
      </c>
      <c r="C192" s="2" t="s">
        <v>124</v>
      </c>
      <c r="D192" s="2" t="s">
        <v>433</v>
      </c>
      <c r="E192" s="2" t="s">
        <v>519</v>
      </c>
      <c r="F192" s="4">
        <v>187171933661</v>
      </c>
      <c r="G192" s="2" t="s">
        <v>208</v>
      </c>
      <c r="H192" s="2" t="s">
        <v>13</v>
      </c>
      <c r="I192" s="3">
        <v>45776</v>
      </c>
      <c r="J192" s="2">
        <v>7531.23</v>
      </c>
      <c r="K192" s="2">
        <v>7531.23</v>
      </c>
      <c r="L192" s="2">
        <v>203</v>
      </c>
      <c r="M192" s="2"/>
      <c r="N192" s="2"/>
    </row>
    <row r="193" spans="1:14">
      <c r="A193" s="2">
        <v>5</v>
      </c>
      <c r="B193" s="2">
        <f t="shared" si="2"/>
        <v>19589</v>
      </c>
      <c r="C193" s="2" t="s">
        <v>124</v>
      </c>
      <c r="D193" s="2" t="s">
        <v>434</v>
      </c>
      <c r="E193" s="2" t="s">
        <v>516</v>
      </c>
      <c r="F193" s="4">
        <v>195890000661</v>
      </c>
      <c r="G193" s="2" t="s">
        <v>209</v>
      </c>
      <c r="H193" s="2" t="s">
        <v>13</v>
      </c>
      <c r="I193" s="3">
        <v>45776</v>
      </c>
      <c r="J193" s="2">
        <v>11186.04</v>
      </c>
      <c r="K193" s="2">
        <v>11186.04</v>
      </c>
      <c r="L193" s="2">
        <v>203</v>
      </c>
      <c r="M193" s="2"/>
      <c r="N193" s="2"/>
    </row>
    <row r="194" spans="1:14">
      <c r="A194" s="2">
        <v>5</v>
      </c>
      <c r="B194" s="2">
        <f t="shared" si="2"/>
        <v>19622</v>
      </c>
      <c r="C194" s="2" t="s">
        <v>124</v>
      </c>
      <c r="D194" s="2" t="s">
        <v>435</v>
      </c>
      <c r="E194" s="2" t="s">
        <v>521</v>
      </c>
      <c r="F194" s="4">
        <v>196221907282</v>
      </c>
      <c r="G194" s="2" t="s">
        <v>210</v>
      </c>
      <c r="H194" s="2" t="s">
        <v>13</v>
      </c>
      <c r="I194" s="3">
        <v>45776</v>
      </c>
      <c r="J194" s="2">
        <v>9106.59</v>
      </c>
      <c r="K194" s="2">
        <v>9556.59</v>
      </c>
      <c r="L194" s="2">
        <v>203</v>
      </c>
      <c r="M194" s="2"/>
      <c r="N194" s="2"/>
    </row>
    <row r="195" spans="1:14">
      <c r="A195" s="2">
        <v>5</v>
      </c>
      <c r="B195" s="2">
        <f t="shared" ref="B195:B258" si="3">VALUE(LEFT(F195,5))</f>
        <v>19529</v>
      </c>
      <c r="C195" s="2" t="s">
        <v>124</v>
      </c>
      <c r="D195" s="2" t="s">
        <v>397</v>
      </c>
      <c r="E195" s="2" t="s">
        <v>514</v>
      </c>
      <c r="F195" s="4">
        <v>195291938065</v>
      </c>
      <c r="G195" s="2" t="s">
        <v>211</v>
      </c>
      <c r="H195" s="2" t="s">
        <v>13</v>
      </c>
      <c r="I195" s="3">
        <v>45776</v>
      </c>
      <c r="J195" s="2">
        <v>13988.01</v>
      </c>
      <c r="K195" s="2">
        <v>14526.39</v>
      </c>
      <c r="L195" s="2">
        <v>203</v>
      </c>
      <c r="M195" s="2"/>
      <c r="N195" s="2"/>
    </row>
    <row r="196" spans="1:14">
      <c r="A196" s="2">
        <v>5</v>
      </c>
      <c r="B196" s="2">
        <f t="shared" si="3"/>
        <v>19662</v>
      </c>
      <c r="C196" s="2" t="s">
        <v>124</v>
      </c>
      <c r="D196" s="2" t="s">
        <v>428</v>
      </c>
      <c r="E196" s="2" t="s">
        <v>517</v>
      </c>
      <c r="F196" s="4">
        <v>196620000932</v>
      </c>
      <c r="G196" s="2" t="s">
        <v>212</v>
      </c>
      <c r="H196" s="2" t="s">
        <v>13</v>
      </c>
      <c r="I196" s="3">
        <v>45776</v>
      </c>
      <c r="J196" s="2">
        <v>11135.4</v>
      </c>
      <c r="K196" s="2">
        <v>11135.4</v>
      </c>
      <c r="L196" s="2">
        <v>203</v>
      </c>
      <c r="M196" s="2"/>
      <c r="N196" s="2"/>
    </row>
    <row r="197" spans="1:14">
      <c r="A197" s="2">
        <v>5</v>
      </c>
      <c r="B197" s="2">
        <f t="shared" si="3"/>
        <v>18868</v>
      </c>
      <c r="C197" s="2" t="s">
        <v>124</v>
      </c>
      <c r="D197" s="2" t="s">
        <v>436</v>
      </c>
      <c r="E197" s="2" t="s">
        <v>505</v>
      </c>
      <c r="F197" s="4">
        <v>188680000777</v>
      </c>
      <c r="G197" s="2" t="s">
        <v>213</v>
      </c>
      <c r="H197" s="2" t="s">
        <v>12</v>
      </c>
      <c r="I197" s="3">
        <v>45737</v>
      </c>
      <c r="J197" s="2">
        <v>6839.39</v>
      </c>
      <c r="K197" s="2">
        <v>6839.39</v>
      </c>
      <c r="L197" s="2">
        <v>242</v>
      </c>
      <c r="M197" s="2"/>
      <c r="N197" s="2"/>
    </row>
    <row r="198" spans="1:14">
      <c r="A198" s="2">
        <v>5</v>
      </c>
      <c r="B198" s="2">
        <f t="shared" si="3"/>
        <v>18841</v>
      </c>
      <c r="C198" s="2" t="s">
        <v>124</v>
      </c>
      <c r="D198" s="2" t="s">
        <v>437</v>
      </c>
      <c r="E198" s="2" t="s">
        <v>517</v>
      </c>
      <c r="F198" s="4">
        <v>188410001224</v>
      </c>
      <c r="G198" s="2" t="s">
        <v>214</v>
      </c>
      <c r="H198" s="2" t="s">
        <v>12</v>
      </c>
      <c r="I198" s="3">
        <v>45734</v>
      </c>
      <c r="J198" s="2">
        <v>8336.61</v>
      </c>
      <c r="K198" s="2">
        <v>8336.61</v>
      </c>
      <c r="L198" s="2">
        <v>245</v>
      </c>
      <c r="M198" s="2"/>
      <c r="N198" s="2"/>
    </row>
    <row r="199" spans="1:14">
      <c r="A199" s="2">
        <v>6</v>
      </c>
      <c r="B199" s="2">
        <f t="shared" si="3"/>
        <v>19616</v>
      </c>
      <c r="C199" s="2" t="s">
        <v>230</v>
      </c>
      <c r="D199" s="2" t="s">
        <v>438</v>
      </c>
      <c r="E199" s="2" t="s">
        <v>526</v>
      </c>
      <c r="F199" s="4">
        <v>196162000430</v>
      </c>
      <c r="G199" s="2" t="s">
        <v>215</v>
      </c>
      <c r="H199" s="2" t="s">
        <v>13</v>
      </c>
      <c r="I199" s="3">
        <v>45776</v>
      </c>
      <c r="J199" s="2">
        <v>10738.62</v>
      </c>
      <c r="K199" s="2">
        <v>10738.62</v>
      </c>
      <c r="L199" s="2">
        <v>203</v>
      </c>
      <c r="M199" s="2"/>
      <c r="N199" s="2"/>
    </row>
    <row r="200" spans="1:14">
      <c r="A200" s="2">
        <v>6</v>
      </c>
      <c r="B200" s="2">
        <f t="shared" si="3"/>
        <v>19593</v>
      </c>
      <c r="C200" s="2" t="s">
        <v>230</v>
      </c>
      <c r="D200" s="2" t="s">
        <v>439</v>
      </c>
      <c r="E200" s="2" t="s">
        <v>527</v>
      </c>
      <c r="F200" s="4">
        <v>195931980861</v>
      </c>
      <c r="G200" s="2" t="s">
        <v>216</v>
      </c>
      <c r="H200" s="2" t="s">
        <v>12</v>
      </c>
      <c r="I200" s="3">
        <v>45805</v>
      </c>
      <c r="J200" s="2">
        <v>9843.14</v>
      </c>
      <c r="K200" s="2">
        <v>9843.14</v>
      </c>
      <c r="L200" s="2">
        <v>174</v>
      </c>
      <c r="M200" s="2"/>
      <c r="N200" s="2"/>
    </row>
    <row r="201" spans="1:14">
      <c r="A201" s="2">
        <v>6</v>
      </c>
      <c r="B201" s="2">
        <f t="shared" si="3"/>
        <v>19647</v>
      </c>
      <c r="C201" s="2" t="s">
        <v>230</v>
      </c>
      <c r="D201" s="2" t="s">
        <v>440</v>
      </c>
      <c r="E201" s="2" t="s">
        <v>527</v>
      </c>
      <c r="F201" s="4">
        <v>196471998020</v>
      </c>
      <c r="G201" s="2" t="s">
        <v>217</v>
      </c>
      <c r="H201" s="2" t="s">
        <v>12</v>
      </c>
      <c r="I201" s="3">
        <v>45857</v>
      </c>
      <c r="J201" s="2">
        <v>5089.71</v>
      </c>
      <c r="K201" s="2">
        <v>5089.71</v>
      </c>
      <c r="L201" s="2">
        <v>122</v>
      </c>
      <c r="M201" s="2"/>
      <c r="N201" s="2"/>
    </row>
    <row r="202" spans="1:14">
      <c r="A202" s="2">
        <v>6</v>
      </c>
      <c r="B202" s="2">
        <f t="shared" si="3"/>
        <v>18829</v>
      </c>
      <c r="C202" s="2" t="s">
        <v>230</v>
      </c>
      <c r="D202" s="2" t="s">
        <v>441</v>
      </c>
      <c r="E202" s="2" t="s">
        <v>506</v>
      </c>
      <c r="F202" s="4">
        <v>188291997995</v>
      </c>
      <c r="G202" s="2" t="s">
        <v>218</v>
      </c>
      <c r="H202" s="2" t="s">
        <v>13</v>
      </c>
      <c r="I202" s="3">
        <v>45776</v>
      </c>
      <c r="J202" s="2">
        <v>12130.61</v>
      </c>
      <c r="K202" s="2">
        <v>12130.61</v>
      </c>
      <c r="L202" s="2">
        <v>203</v>
      </c>
      <c r="M202" s="2"/>
      <c r="N202" s="2"/>
    </row>
    <row r="203" spans="1:14">
      <c r="A203" s="2">
        <v>6</v>
      </c>
      <c r="B203" s="2">
        <f t="shared" si="3"/>
        <v>18829</v>
      </c>
      <c r="C203" s="2" t="s">
        <v>230</v>
      </c>
      <c r="D203" s="2" t="s">
        <v>441</v>
      </c>
      <c r="E203" s="2" t="s">
        <v>506</v>
      </c>
      <c r="F203" s="4">
        <v>188290000016</v>
      </c>
      <c r="G203" s="2" t="s">
        <v>219</v>
      </c>
      <c r="H203" s="2" t="s">
        <v>12</v>
      </c>
      <c r="I203" s="3">
        <v>45792</v>
      </c>
      <c r="J203" s="2">
        <v>27497.27</v>
      </c>
      <c r="K203" s="2">
        <v>27497.27</v>
      </c>
      <c r="L203" s="2">
        <v>187</v>
      </c>
      <c r="M203" s="2"/>
      <c r="N203" s="2"/>
    </row>
    <row r="204" spans="1:14">
      <c r="A204" s="2">
        <v>6</v>
      </c>
      <c r="B204" s="2">
        <f t="shared" si="3"/>
        <v>19632</v>
      </c>
      <c r="C204" s="2" t="s">
        <v>230</v>
      </c>
      <c r="D204" s="2" t="s">
        <v>401</v>
      </c>
      <c r="E204" s="2" t="s">
        <v>518</v>
      </c>
      <c r="F204" s="4">
        <v>196320000655</v>
      </c>
      <c r="G204" s="2" t="s">
        <v>220</v>
      </c>
      <c r="H204" s="2" t="s">
        <v>13</v>
      </c>
      <c r="I204" s="3">
        <v>45776</v>
      </c>
      <c r="J204" s="2">
        <v>13555.4</v>
      </c>
      <c r="K204" s="2">
        <v>13555.4</v>
      </c>
      <c r="L204" s="2">
        <v>203</v>
      </c>
      <c r="M204" s="2"/>
      <c r="N204" s="2"/>
    </row>
    <row r="205" spans="1:14">
      <c r="A205" s="2">
        <v>6</v>
      </c>
      <c r="B205" s="2">
        <f t="shared" si="3"/>
        <v>19666</v>
      </c>
      <c r="C205" s="2" t="s">
        <v>230</v>
      </c>
      <c r="D205" s="2" t="s">
        <v>442</v>
      </c>
      <c r="E205" s="2" t="s">
        <v>528</v>
      </c>
      <c r="F205" s="4">
        <v>196660000706</v>
      </c>
      <c r="G205" s="2" t="s">
        <v>221</v>
      </c>
      <c r="H205" s="2" t="s">
        <v>13</v>
      </c>
      <c r="I205" s="3">
        <v>45776</v>
      </c>
      <c r="J205" s="2">
        <v>10220</v>
      </c>
      <c r="K205" s="2">
        <v>10220</v>
      </c>
      <c r="L205" s="2">
        <v>203</v>
      </c>
      <c r="M205" s="2"/>
      <c r="N205" s="2"/>
    </row>
    <row r="206" spans="1:14">
      <c r="A206" s="2">
        <v>6</v>
      </c>
      <c r="B206" s="2">
        <f t="shared" si="3"/>
        <v>19656</v>
      </c>
      <c r="C206" s="2" t="s">
        <v>230</v>
      </c>
      <c r="D206" s="2" t="s">
        <v>443</v>
      </c>
      <c r="E206" s="2" t="s">
        <v>528</v>
      </c>
      <c r="F206" s="4">
        <v>196560001071</v>
      </c>
      <c r="G206" s="2" t="s">
        <v>222</v>
      </c>
      <c r="H206" s="2" t="s">
        <v>13</v>
      </c>
      <c r="I206" s="3">
        <v>45776</v>
      </c>
      <c r="J206" s="2">
        <v>10589.23</v>
      </c>
      <c r="K206" s="2">
        <v>10589.23</v>
      </c>
      <c r="L206" s="2">
        <v>203</v>
      </c>
      <c r="M206" s="2"/>
      <c r="N206" s="2"/>
    </row>
    <row r="207" spans="1:14">
      <c r="A207" s="2">
        <v>6</v>
      </c>
      <c r="B207" s="2">
        <f t="shared" si="3"/>
        <v>19667</v>
      </c>
      <c r="C207" s="2" t="s">
        <v>230</v>
      </c>
      <c r="D207" s="2" t="s">
        <v>444</v>
      </c>
      <c r="E207" s="2" t="s">
        <v>529</v>
      </c>
      <c r="F207" s="4">
        <v>196670000658</v>
      </c>
      <c r="G207" s="2" t="s">
        <v>223</v>
      </c>
      <c r="H207" s="2" t="s">
        <v>12</v>
      </c>
      <c r="I207" s="3">
        <v>45642</v>
      </c>
      <c r="J207" s="2">
        <v>14724.05</v>
      </c>
      <c r="K207" s="2">
        <v>14724.05</v>
      </c>
      <c r="L207" s="2">
        <v>337</v>
      </c>
      <c r="M207" s="3">
        <v>45790</v>
      </c>
      <c r="N207" s="2"/>
    </row>
    <row r="208" spans="1:14">
      <c r="A208" s="2">
        <v>6</v>
      </c>
      <c r="B208" s="2">
        <f t="shared" si="3"/>
        <v>19668</v>
      </c>
      <c r="C208" s="2" t="s">
        <v>230</v>
      </c>
      <c r="D208" s="2" t="s">
        <v>445</v>
      </c>
      <c r="E208" s="2" t="s">
        <v>529</v>
      </c>
      <c r="F208" s="4">
        <v>196680000923</v>
      </c>
      <c r="G208" s="2" t="s">
        <v>224</v>
      </c>
      <c r="H208" s="2" t="s">
        <v>13</v>
      </c>
      <c r="I208" s="3">
        <v>45287</v>
      </c>
      <c r="J208" s="2">
        <v>11542.26</v>
      </c>
      <c r="K208" s="2">
        <v>11542.26</v>
      </c>
      <c r="L208" s="2">
        <v>692</v>
      </c>
      <c r="M208" s="3">
        <v>45916</v>
      </c>
      <c r="N208" s="2"/>
    </row>
    <row r="209" spans="1:14">
      <c r="A209" s="2">
        <v>6</v>
      </c>
      <c r="B209" s="2">
        <f t="shared" si="3"/>
        <v>19668</v>
      </c>
      <c r="C209" s="2" t="s">
        <v>230</v>
      </c>
      <c r="D209" s="2" t="s">
        <v>445</v>
      </c>
      <c r="E209" s="2" t="s">
        <v>529</v>
      </c>
      <c r="F209" s="4">
        <v>196682004721</v>
      </c>
      <c r="G209" s="2" t="s">
        <v>225</v>
      </c>
      <c r="H209" s="2" t="s">
        <v>12</v>
      </c>
      <c r="I209" s="3">
        <v>45684</v>
      </c>
      <c r="J209" s="2">
        <v>14642.15</v>
      </c>
      <c r="K209" s="2">
        <v>14642.15</v>
      </c>
      <c r="L209" s="2">
        <v>295</v>
      </c>
      <c r="M209" s="3">
        <v>45790</v>
      </c>
      <c r="N209" s="2"/>
    </row>
    <row r="210" spans="1:14">
      <c r="A210" s="2">
        <v>6</v>
      </c>
      <c r="B210" s="2">
        <f t="shared" si="3"/>
        <v>19677</v>
      </c>
      <c r="C210" s="2" t="s">
        <v>230</v>
      </c>
      <c r="D210" s="2" t="s">
        <v>446</v>
      </c>
      <c r="E210" s="2" t="s">
        <v>529</v>
      </c>
      <c r="F210" s="4">
        <v>196772002663</v>
      </c>
      <c r="G210" s="2" t="s">
        <v>226</v>
      </c>
      <c r="H210" s="2" t="s">
        <v>12</v>
      </c>
      <c r="I210" s="3">
        <v>45753</v>
      </c>
      <c r="J210" s="2">
        <v>28238.02</v>
      </c>
      <c r="K210" s="2">
        <v>28238.02</v>
      </c>
      <c r="L210" s="2">
        <v>226</v>
      </c>
      <c r="M210" s="2"/>
      <c r="N210" s="2"/>
    </row>
    <row r="211" spans="1:14">
      <c r="A211" s="2">
        <v>6</v>
      </c>
      <c r="B211" s="2">
        <f t="shared" si="3"/>
        <v>19630</v>
      </c>
      <c r="C211" s="2" t="s">
        <v>230</v>
      </c>
      <c r="D211" s="2" t="s">
        <v>447</v>
      </c>
      <c r="E211" s="2" t="s">
        <v>506</v>
      </c>
      <c r="F211" s="4">
        <v>196300109057</v>
      </c>
      <c r="G211" s="2" t="s">
        <v>227</v>
      </c>
      <c r="H211" s="2" t="s">
        <v>12</v>
      </c>
      <c r="I211" s="3">
        <v>45750</v>
      </c>
      <c r="J211" s="2">
        <v>5154.78</v>
      </c>
      <c r="K211" s="2">
        <v>5154.78</v>
      </c>
      <c r="L211" s="2">
        <v>229</v>
      </c>
      <c r="M211" s="2"/>
      <c r="N211" s="2"/>
    </row>
    <row r="212" spans="1:14">
      <c r="A212" s="2">
        <v>6</v>
      </c>
      <c r="B212" s="2">
        <f t="shared" si="3"/>
        <v>19630</v>
      </c>
      <c r="C212" s="2" t="s">
        <v>230</v>
      </c>
      <c r="D212" s="2" t="s">
        <v>447</v>
      </c>
      <c r="E212" s="2" t="s">
        <v>506</v>
      </c>
      <c r="F212" s="4">
        <v>196301998068</v>
      </c>
      <c r="G212" s="2" t="s">
        <v>228</v>
      </c>
      <c r="H212" s="2" t="s">
        <v>13</v>
      </c>
      <c r="I212" s="3">
        <v>45776</v>
      </c>
      <c r="J212" s="2">
        <v>10601.54</v>
      </c>
      <c r="K212" s="2">
        <v>10601.54</v>
      </c>
      <c r="L212" s="2">
        <v>203</v>
      </c>
      <c r="M212" s="2"/>
      <c r="N212" s="2"/>
    </row>
    <row r="213" spans="1:14">
      <c r="A213" s="2">
        <v>6</v>
      </c>
      <c r="B213" s="2">
        <f t="shared" si="3"/>
        <v>19609</v>
      </c>
      <c r="C213" s="2" t="s">
        <v>230</v>
      </c>
      <c r="D213" s="2" t="s">
        <v>448</v>
      </c>
      <c r="E213" s="2" t="s">
        <v>506</v>
      </c>
      <c r="F213" s="4">
        <v>196090100078</v>
      </c>
      <c r="G213" s="2" t="s">
        <v>229</v>
      </c>
      <c r="H213" s="2" t="s">
        <v>12</v>
      </c>
      <c r="I213" s="3">
        <v>45831</v>
      </c>
      <c r="J213" s="2">
        <v>24294.13</v>
      </c>
      <c r="K213" s="2">
        <v>24294.13</v>
      </c>
      <c r="L213" s="2">
        <v>148</v>
      </c>
      <c r="M213" s="2"/>
      <c r="N213" s="2"/>
    </row>
    <row r="214" spans="1:14">
      <c r="A214" s="2">
        <v>0</v>
      </c>
      <c r="B214" s="2">
        <f t="shared" si="3"/>
        <v>19539</v>
      </c>
      <c r="C214" s="2" t="s">
        <v>230</v>
      </c>
      <c r="D214" s="2" t="s">
        <v>449</v>
      </c>
      <c r="E214" s="2" t="s">
        <v>530</v>
      </c>
      <c r="F214" s="4">
        <v>195390058298</v>
      </c>
      <c r="G214" s="2" t="s">
        <v>231</v>
      </c>
      <c r="H214" s="2" t="s">
        <v>11</v>
      </c>
      <c r="I214" s="3">
        <v>45173</v>
      </c>
      <c r="J214" s="2">
        <v>15769.87</v>
      </c>
      <c r="K214" s="2">
        <v>16369.87</v>
      </c>
      <c r="L214" s="2">
        <v>806</v>
      </c>
      <c r="M214" s="3">
        <v>45673</v>
      </c>
      <c r="N214" s="2"/>
    </row>
    <row r="215" spans="1:14">
      <c r="A215" s="2">
        <v>0</v>
      </c>
      <c r="B215" s="2">
        <f t="shared" si="3"/>
        <v>19565</v>
      </c>
      <c r="C215" s="2" t="s">
        <v>230</v>
      </c>
      <c r="D215" s="2" t="s">
        <v>450</v>
      </c>
      <c r="E215" s="2" t="s">
        <v>531</v>
      </c>
      <c r="F215" s="4">
        <v>195651984969</v>
      </c>
      <c r="G215" s="2" t="s">
        <v>232</v>
      </c>
      <c r="H215" s="2" t="s">
        <v>11</v>
      </c>
      <c r="I215" s="3">
        <v>45379</v>
      </c>
      <c r="J215" s="2">
        <v>14096.06</v>
      </c>
      <c r="K215" s="2">
        <v>14696.06</v>
      </c>
      <c r="L215" s="2">
        <v>600</v>
      </c>
      <c r="M215" s="3">
        <v>45909</v>
      </c>
      <c r="N215" s="2"/>
    </row>
    <row r="216" spans="1:14">
      <c r="A216" s="2">
        <v>0</v>
      </c>
      <c r="B216" s="2">
        <f t="shared" si="3"/>
        <v>19540</v>
      </c>
      <c r="C216" s="2" t="s">
        <v>230</v>
      </c>
      <c r="D216" s="2" t="s">
        <v>451</v>
      </c>
      <c r="E216" s="2" t="s">
        <v>526</v>
      </c>
      <c r="F216" s="4">
        <v>195400058518</v>
      </c>
      <c r="G216" s="2" t="s">
        <v>233</v>
      </c>
      <c r="H216" s="2" t="s">
        <v>11</v>
      </c>
      <c r="I216" s="3">
        <v>45737</v>
      </c>
      <c r="J216" s="2">
        <v>7266.18</v>
      </c>
      <c r="K216" s="2">
        <v>7866.18</v>
      </c>
      <c r="L216" s="2">
        <v>242</v>
      </c>
      <c r="M216" s="3">
        <v>45976</v>
      </c>
      <c r="N216" s="2"/>
    </row>
    <row r="217" spans="1:14">
      <c r="A217" s="2">
        <v>0</v>
      </c>
      <c r="B217" s="2">
        <f t="shared" si="3"/>
        <v>19609</v>
      </c>
      <c r="C217" s="2" t="s">
        <v>230</v>
      </c>
      <c r="D217" s="2" t="s">
        <v>448</v>
      </c>
      <c r="E217" s="2" t="s">
        <v>506</v>
      </c>
      <c r="F217" s="4">
        <v>196090100027</v>
      </c>
      <c r="G217" s="2" t="s">
        <v>234</v>
      </c>
      <c r="H217" s="2" t="s">
        <v>11</v>
      </c>
      <c r="I217" s="3">
        <v>45622</v>
      </c>
      <c r="J217" s="2">
        <v>5656.05</v>
      </c>
      <c r="K217" s="2">
        <v>6256.05</v>
      </c>
      <c r="L217" s="2">
        <v>357</v>
      </c>
      <c r="M217" s="3">
        <v>45797</v>
      </c>
      <c r="N217" s="2"/>
    </row>
    <row r="218" spans="1:14">
      <c r="A218" s="2">
        <v>5</v>
      </c>
      <c r="B218" s="2">
        <f t="shared" si="3"/>
        <v>18841</v>
      </c>
      <c r="C218" s="2" t="s">
        <v>124</v>
      </c>
      <c r="D218" s="2" t="s">
        <v>437</v>
      </c>
      <c r="E218" s="2" t="s">
        <v>517</v>
      </c>
      <c r="F218" s="4">
        <v>188411937134</v>
      </c>
      <c r="G218" s="2" t="s">
        <v>235</v>
      </c>
      <c r="H218" s="2" t="s">
        <v>13</v>
      </c>
      <c r="I218" s="3">
        <v>45776</v>
      </c>
      <c r="J218" s="2">
        <v>8786.35</v>
      </c>
      <c r="K218" s="2">
        <v>8786.35</v>
      </c>
      <c r="L218" s="2">
        <v>203</v>
      </c>
      <c r="M218" s="2"/>
      <c r="N218" s="2"/>
    </row>
    <row r="219" spans="1:14">
      <c r="A219" s="2">
        <v>6</v>
      </c>
      <c r="B219" s="2">
        <f t="shared" si="3"/>
        <v>19510</v>
      </c>
      <c r="C219" s="2" t="s">
        <v>230</v>
      </c>
      <c r="D219" s="2" t="s">
        <v>452</v>
      </c>
      <c r="E219" s="2" t="s">
        <v>531</v>
      </c>
      <c r="F219" s="4">
        <v>195100001247</v>
      </c>
      <c r="G219" s="2" t="s">
        <v>236</v>
      </c>
      <c r="H219" s="2" t="s">
        <v>12</v>
      </c>
      <c r="I219" s="3">
        <v>45662</v>
      </c>
      <c r="J219" s="2">
        <v>35434.410000000003</v>
      </c>
      <c r="K219" s="2">
        <v>35434.410000000003</v>
      </c>
      <c r="L219" s="2">
        <v>317</v>
      </c>
      <c r="M219" s="3">
        <v>45976</v>
      </c>
      <c r="N219" s="2"/>
    </row>
    <row r="220" spans="1:14">
      <c r="A220" s="2">
        <v>6</v>
      </c>
      <c r="B220" s="2">
        <f t="shared" si="3"/>
        <v>19671</v>
      </c>
      <c r="C220" s="2" t="s">
        <v>230</v>
      </c>
      <c r="D220" s="2" t="s">
        <v>453</v>
      </c>
      <c r="E220" s="2" t="s">
        <v>532</v>
      </c>
      <c r="F220" s="4">
        <v>196711988787</v>
      </c>
      <c r="G220" s="2" t="s">
        <v>237</v>
      </c>
      <c r="H220" s="2" t="s">
        <v>12</v>
      </c>
      <c r="I220" s="3">
        <v>45935</v>
      </c>
      <c r="J220" s="2">
        <v>5122.34</v>
      </c>
      <c r="K220" s="2">
        <v>5122.34</v>
      </c>
      <c r="L220" s="2">
        <v>44</v>
      </c>
      <c r="M220" s="2"/>
      <c r="N220" s="2"/>
    </row>
    <row r="221" spans="1:14">
      <c r="A221" s="2">
        <v>6</v>
      </c>
      <c r="B221" s="2">
        <f t="shared" si="3"/>
        <v>19571</v>
      </c>
      <c r="C221" s="2" t="s">
        <v>48</v>
      </c>
      <c r="D221" s="2" t="s">
        <v>454</v>
      </c>
      <c r="E221" s="2" t="s">
        <v>504</v>
      </c>
      <c r="F221" s="4">
        <v>195710001117</v>
      </c>
      <c r="G221" s="2" t="s">
        <v>238</v>
      </c>
      <c r="H221" s="2" t="s">
        <v>13</v>
      </c>
      <c r="I221" s="3">
        <v>45776</v>
      </c>
      <c r="J221" s="2">
        <v>9705.24</v>
      </c>
      <c r="K221" s="2">
        <v>9705.24</v>
      </c>
      <c r="L221" s="2">
        <v>203</v>
      </c>
      <c r="M221" s="2"/>
      <c r="N221" s="2"/>
    </row>
    <row r="222" spans="1:14">
      <c r="A222" s="2">
        <v>6</v>
      </c>
      <c r="B222" s="2">
        <f t="shared" si="3"/>
        <v>19596</v>
      </c>
      <c r="C222" s="2" t="s">
        <v>230</v>
      </c>
      <c r="D222" s="2" t="s">
        <v>455</v>
      </c>
      <c r="E222" s="2" t="s">
        <v>531</v>
      </c>
      <c r="F222" s="4">
        <v>195960000922</v>
      </c>
      <c r="G222" s="2" t="s">
        <v>239</v>
      </c>
      <c r="H222" s="2" t="s">
        <v>13</v>
      </c>
      <c r="I222" s="3">
        <v>45776</v>
      </c>
      <c r="J222" s="2">
        <v>10423.969999999999</v>
      </c>
      <c r="K222" s="2">
        <v>10423.969999999999</v>
      </c>
      <c r="L222" s="2">
        <v>203</v>
      </c>
      <c r="M222" s="2"/>
      <c r="N222" s="2"/>
    </row>
    <row r="223" spans="1:14">
      <c r="A223" s="2">
        <v>6</v>
      </c>
      <c r="B223" s="2">
        <f t="shared" si="3"/>
        <v>19671</v>
      </c>
      <c r="C223" s="2" t="s">
        <v>230</v>
      </c>
      <c r="D223" s="2" t="s">
        <v>453</v>
      </c>
      <c r="E223" s="2" t="s">
        <v>532</v>
      </c>
      <c r="F223" s="4">
        <v>196710000621</v>
      </c>
      <c r="G223" s="2" t="s">
        <v>240</v>
      </c>
      <c r="H223" s="2" t="s">
        <v>13</v>
      </c>
      <c r="I223" s="3">
        <v>45776</v>
      </c>
      <c r="J223" s="2">
        <v>12838.75</v>
      </c>
      <c r="K223" s="2">
        <v>12838.75</v>
      </c>
      <c r="L223" s="2">
        <v>203</v>
      </c>
      <c r="M223" s="2"/>
      <c r="N223" s="2"/>
    </row>
    <row r="224" spans="1:14">
      <c r="A224" s="2">
        <v>6</v>
      </c>
      <c r="B224" s="2">
        <f t="shared" si="3"/>
        <v>19510</v>
      </c>
      <c r="C224" s="2" t="s">
        <v>230</v>
      </c>
      <c r="D224" s="2" t="s">
        <v>452</v>
      </c>
      <c r="E224" s="2" t="s">
        <v>531</v>
      </c>
      <c r="F224" s="4">
        <v>195100001352</v>
      </c>
      <c r="G224" s="2" t="s">
        <v>241</v>
      </c>
      <c r="H224" s="2" t="s">
        <v>10</v>
      </c>
      <c r="I224" s="3">
        <v>45714</v>
      </c>
      <c r="J224" s="2">
        <v>8916.15</v>
      </c>
      <c r="K224" s="2">
        <v>8916.15</v>
      </c>
      <c r="L224" s="2">
        <v>265</v>
      </c>
      <c r="M224" s="2"/>
      <c r="N224" s="2"/>
    </row>
    <row r="225" spans="1:14">
      <c r="A225" s="2">
        <v>6</v>
      </c>
      <c r="B225" s="2">
        <f t="shared" si="3"/>
        <v>19510</v>
      </c>
      <c r="C225" s="2" t="s">
        <v>230</v>
      </c>
      <c r="D225" s="2" t="s">
        <v>452</v>
      </c>
      <c r="E225" s="2" t="s">
        <v>531</v>
      </c>
      <c r="F225" s="4">
        <v>195101997818</v>
      </c>
      <c r="G225" s="2" t="s">
        <v>242</v>
      </c>
      <c r="H225" s="2" t="s">
        <v>13</v>
      </c>
      <c r="I225" s="3">
        <v>45776</v>
      </c>
      <c r="J225" s="2">
        <v>9459.7000000000007</v>
      </c>
      <c r="K225" s="2">
        <v>9459.7000000000007</v>
      </c>
      <c r="L225" s="2">
        <v>203</v>
      </c>
      <c r="M225" s="2"/>
      <c r="N225" s="2"/>
    </row>
    <row r="226" spans="1:14">
      <c r="A226" s="2">
        <v>6</v>
      </c>
      <c r="B226" s="2">
        <f t="shared" si="3"/>
        <v>19510</v>
      </c>
      <c r="C226" s="2" t="s">
        <v>230</v>
      </c>
      <c r="D226" s="2" t="s">
        <v>452</v>
      </c>
      <c r="E226" s="2" t="s">
        <v>531</v>
      </c>
      <c r="F226" s="4">
        <v>195100001611</v>
      </c>
      <c r="G226" s="2" t="s">
        <v>243</v>
      </c>
      <c r="H226" s="2" t="s">
        <v>12</v>
      </c>
      <c r="I226" s="3">
        <v>45717</v>
      </c>
      <c r="J226" s="2">
        <v>8727.83</v>
      </c>
      <c r="K226" s="2">
        <v>8727.83</v>
      </c>
      <c r="L226" s="2">
        <v>262</v>
      </c>
      <c r="M226" s="2"/>
      <c r="N226" s="2"/>
    </row>
    <row r="227" spans="1:14">
      <c r="A227" s="2">
        <v>6</v>
      </c>
      <c r="B227" s="2">
        <f t="shared" si="3"/>
        <v>19510</v>
      </c>
      <c r="C227" s="2" t="s">
        <v>230</v>
      </c>
      <c r="D227" s="2" t="s">
        <v>452</v>
      </c>
      <c r="E227" s="2" t="s">
        <v>531</v>
      </c>
      <c r="F227" s="4">
        <v>195100000721</v>
      </c>
      <c r="G227" s="2" t="s">
        <v>244</v>
      </c>
      <c r="H227" s="2" t="s">
        <v>13</v>
      </c>
      <c r="I227" s="3">
        <v>45776</v>
      </c>
      <c r="J227" s="2">
        <v>8679.07</v>
      </c>
      <c r="K227" s="2">
        <v>8679.07</v>
      </c>
      <c r="L227" s="2">
        <v>203</v>
      </c>
      <c r="M227" s="2"/>
      <c r="N227" s="2"/>
    </row>
    <row r="228" spans="1:14">
      <c r="A228" s="2">
        <v>6</v>
      </c>
      <c r="B228" s="2">
        <f t="shared" si="3"/>
        <v>19510</v>
      </c>
      <c r="C228" s="2" t="s">
        <v>230</v>
      </c>
      <c r="D228" s="2" t="s">
        <v>452</v>
      </c>
      <c r="E228" s="2" t="s">
        <v>531</v>
      </c>
      <c r="F228" s="4">
        <v>195100000615</v>
      </c>
      <c r="G228" s="2" t="s">
        <v>245</v>
      </c>
      <c r="H228" s="2" t="s">
        <v>13</v>
      </c>
      <c r="I228" s="3">
        <v>45776</v>
      </c>
      <c r="J228" s="2">
        <v>7359.87</v>
      </c>
      <c r="K228" s="2">
        <v>7359.87</v>
      </c>
      <c r="L228" s="2">
        <v>203</v>
      </c>
      <c r="M228" s="2"/>
      <c r="N228" s="2"/>
    </row>
    <row r="229" spans="1:14">
      <c r="A229" s="2">
        <v>6</v>
      </c>
      <c r="B229" s="2">
        <f t="shared" si="3"/>
        <v>19510</v>
      </c>
      <c r="C229" s="2" t="s">
        <v>230</v>
      </c>
      <c r="D229" s="2" t="s">
        <v>452</v>
      </c>
      <c r="E229" s="2" t="s">
        <v>531</v>
      </c>
      <c r="F229" s="4">
        <v>195102000213</v>
      </c>
      <c r="G229" s="2" t="s">
        <v>246</v>
      </c>
      <c r="H229" s="2" t="s">
        <v>12</v>
      </c>
      <c r="I229" s="3">
        <v>45820</v>
      </c>
      <c r="J229" s="2">
        <v>7230.3</v>
      </c>
      <c r="K229" s="2">
        <v>7230.3</v>
      </c>
      <c r="L229" s="2">
        <v>159</v>
      </c>
      <c r="M229" s="2"/>
      <c r="N229" s="2"/>
    </row>
    <row r="230" spans="1:14">
      <c r="A230" s="2">
        <v>6</v>
      </c>
      <c r="B230" s="2">
        <f t="shared" si="3"/>
        <v>19510</v>
      </c>
      <c r="C230" s="2" t="s">
        <v>230</v>
      </c>
      <c r="D230" s="2" t="s">
        <v>452</v>
      </c>
      <c r="E230" s="2" t="s">
        <v>531</v>
      </c>
      <c r="F230" s="4">
        <v>195101996111</v>
      </c>
      <c r="G230" s="2" t="s">
        <v>247</v>
      </c>
      <c r="H230" s="2" t="s">
        <v>12</v>
      </c>
      <c r="I230" s="3">
        <v>45709</v>
      </c>
      <c r="J230" s="2">
        <v>5120.32</v>
      </c>
      <c r="K230" s="2">
        <v>5120.32</v>
      </c>
      <c r="L230" s="2">
        <v>270</v>
      </c>
      <c r="M230" s="2"/>
      <c r="N230" s="2"/>
    </row>
    <row r="231" spans="1:14">
      <c r="A231" s="2">
        <v>6</v>
      </c>
      <c r="B231" s="2">
        <f t="shared" si="3"/>
        <v>19510</v>
      </c>
      <c r="C231" s="2" t="s">
        <v>230</v>
      </c>
      <c r="D231" s="2" t="s">
        <v>452</v>
      </c>
      <c r="E231" s="2" t="s">
        <v>531</v>
      </c>
      <c r="F231" s="4">
        <v>195100001689</v>
      </c>
      <c r="G231" s="2" t="s">
        <v>248</v>
      </c>
      <c r="H231" s="2" t="s">
        <v>10</v>
      </c>
      <c r="I231" s="3">
        <v>45861</v>
      </c>
      <c r="J231" s="2">
        <v>21740.29</v>
      </c>
      <c r="K231" s="2">
        <v>21740.29</v>
      </c>
      <c r="L231" s="2">
        <v>118</v>
      </c>
      <c r="M231" s="2"/>
      <c r="N231" s="2"/>
    </row>
    <row r="232" spans="1:14">
      <c r="A232" s="2">
        <v>6</v>
      </c>
      <c r="B232" s="2">
        <f t="shared" si="3"/>
        <v>19510</v>
      </c>
      <c r="C232" s="2" t="s">
        <v>230</v>
      </c>
      <c r="D232" s="2" t="s">
        <v>452</v>
      </c>
      <c r="E232" s="2" t="s">
        <v>531</v>
      </c>
      <c r="F232" s="4">
        <v>195101999659</v>
      </c>
      <c r="G232" s="2" t="s">
        <v>249</v>
      </c>
      <c r="H232" s="2" t="s">
        <v>13</v>
      </c>
      <c r="I232" s="3">
        <v>45724</v>
      </c>
      <c r="J232" s="2">
        <v>6487</v>
      </c>
      <c r="K232" s="2">
        <v>6487</v>
      </c>
      <c r="L232" s="2">
        <v>255</v>
      </c>
      <c r="M232" s="2"/>
      <c r="N232" s="2"/>
    </row>
    <row r="233" spans="1:14">
      <c r="A233" s="2">
        <v>6</v>
      </c>
      <c r="B233" s="2">
        <f t="shared" si="3"/>
        <v>19510</v>
      </c>
      <c r="C233" s="2" t="s">
        <v>230</v>
      </c>
      <c r="D233" s="2" t="s">
        <v>452</v>
      </c>
      <c r="E233" s="2" t="s">
        <v>531</v>
      </c>
      <c r="F233" s="4">
        <v>195100001221</v>
      </c>
      <c r="G233" s="2" t="s">
        <v>250</v>
      </c>
      <c r="H233" s="2" t="s">
        <v>10</v>
      </c>
      <c r="I233" s="3">
        <v>45728</v>
      </c>
      <c r="J233" s="2">
        <v>5816.94</v>
      </c>
      <c r="K233" s="2">
        <v>5816.94</v>
      </c>
      <c r="L233" s="2">
        <v>251</v>
      </c>
      <c r="M233" s="2"/>
      <c r="N233" s="2"/>
    </row>
    <row r="234" spans="1:14">
      <c r="A234" s="2">
        <v>6</v>
      </c>
      <c r="B234" s="2">
        <f t="shared" si="3"/>
        <v>19510</v>
      </c>
      <c r="C234" s="2" t="s">
        <v>230</v>
      </c>
      <c r="D234" s="2" t="s">
        <v>452</v>
      </c>
      <c r="E234" s="2" t="s">
        <v>531</v>
      </c>
      <c r="F234" s="4">
        <v>195102001635</v>
      </c>
      <c r="G234" s="2" t="s">
        <v>251</v>
      </c>
      <c r="H234" s="2" t="s">
        <v>13</v>
      </c>
      <c r="I234" s="3">
        <v>45776</v>
      </c>
      <c r="J234" s="2">
        <v>7572.37</v>
      </c>
      <c r="K234" s="2">
        <v>7572.37</v>
      </c>
      <c r="L234" s="2">
        <v>203</v>
      </c>
      <c r="M234" s="2"/>
      <c r="N234" s="2"/>
    </row>
    <row r="235" spans="1:14">
      <c r="A235" s="2">
        <v>6</v>
      </c>
      <c r="B235" s="2">
        <f t="shared" si="3"/>
        <v>19596</v>
      </c>
      <c r="C235" s="2" t="s">
        <v>230</v>
      </c>
      <c r="D235" s="2" t="s">
        <v>455</v>
      </c>
      <c r="E235" s="2" t="s">
        <v>531</v>
      </c>
      <c r="F235" s="4">
        <v>195961981510</v>
      </c>
      <c r="G235" s="2" t="s">
        <v>252</v>
      </c>
      <c r="H235" s="2" t="s">
        <v>12</v>
      </c>
      <c r="I235" s="3">
        <v>45673</v>
      </c>
      <c r="J235" s="2">
        <v>6527.14</v>
      </c>
      <c r="K235" s="2">
        <v>6527.14</v>
      </c>
      <c r="L235" s="2">
        <v>306</v>
      </c>
      <c r="M235" s="2"/>
      <c r="N235" s="2"/>
    </row>
    <row r="236" spans="1:14">
      <c r="A236" s="2">
        <v>6</v>
      </c>
      <c r="B236" s="2">
        <f t="shared" si="3"/>
        <v>19596</v>
      </c>
      <c r="C236" s="2" t="s">
        <v>230</v>
      </c>
      <c r="D236" s="2" t="s">
        <v>455</v>
      </c>
      <c r="E236" s="2" t="s">
        <v>531</v>
      </c>
      <c r="F236" s="4">
        <v>195961980327</v>
      </c>
      <c r="G236" s="2" t="s">
        <v>253</v>
      </c>
      <c r="H236" s="2" t="s">
        <v>13</v>
      </c>
      <c r="I236" s="3">
        <v>45776</v>
      </c>
      <c r="J236" s="2">
        <v>13688.87</v>
      </c>
      <c r="K236" s="2">
        <v>13688.87</v>
      </c>
      <c r="L236" s="2">
        <v>203</v>
      </c>
      <c r="M236" s="2"/>
      <c r="N236" s="2"/>
    </row>
    <row r="237" spans="1:14">
      <c r="A237" s="2">
        <v>6</v>
      </c>
      <c r="B237" s="2">
        <f t="shared" si="3"/>
        <v>19510</v>
      </c>
      <c r="C237" s="2" t="s">
        <v>230</v>
      </c>
      <c r="D237" s="2" t="s">
        <v>452</v>
      </c>
      <c r="E237" s="2" t="s">
        <v>531</v>
      </c>
      <c r="F237" s="4">
        <v>195102002887</v>
      </c>
      <c r="G237" s="2" t="s">
        <v>153</v>
      </c>
      <c r="H237" s="2" t="s">
        <v>13</v>
      </c>
      <c r="I237" s="3">
        <v>45776</v>
      </c>
      <c r="J237" s="2">
        <v>7510.07</v>
      </c>
      <c r="K237" s="2">
        <v>7510.07</v>
      </c>
      <c r="L237" s="2">
        <v>203</v>
      </c>
      <c r="M237" s="2"/>
      <c r="N237" s="2"/>
    </row>
    <row r="238" spans="1:14">
      <c r="A238" s="2">
        <v>6</v>
      </c>
      <c r="B238" s="2">
        <f t="shared" si="3"/>
        <v>19596</v>
      </c>
      <c r="C238" s="2" t="s">
        <v>230</v>
      </c>
      <c r="D238" s="2" t="s">
        <v>455</v>
      </c>
      <c r="E238" s="2" t="s">
        <v>531</v>
      </c>
      <c r="F238" s="4">
        <v>195961987356</v>
      </c>
      <c r="G238" s="2" t="s">
        <v>254</v>
      </c>
      <c r="H238" s="2" t="s">
        <v>12</v>
      </c>
      <c r="I238" s="3">
        <v>45974</v>
      </c>
      <c r="J238" s="2">
        <v>9011.92</v>
      </c>
      <c r="K238" s="2">
        <v>9011.92</v>
      </c>
      <c r="L238" s="2">
        <v>5</v>
      </c>
      <c r="M238" s="2"/>
      <c r="N238" s="2"/>
    </row>
    <row r="239" spans="1:14">
      <c r="A239" s="2">
        <v>6</v>
      </c>
      <c r="B239" s="2">
        <f t="shared" si="3"/>
        <v>19516</v>
      </c>
      <c r="C239" s="2" t="s">
        <v>230</v>
      </c>
      <c r="D239" s="2" t="s">
        <v>456</v>
      </c>
      <c r="E239" s="2" t="s">
        <v>531</v>
      </c>
      <c r="F239" s="4">
        <v>195160002145</v>
      </c>
      <c r="G239" s="2" t="s">
        <v>255</v>
      </c>
      <c r="H239" s="2" t="s">
        <v>10</v>
      </c>
      <c r="I239" s="3">
        <v>45917</v>
      </c>
      <c r="J239" s="2">
        <v>13464.08</v>
      </c>
      <c r="K239" s="2">
        <v>13464.08</v>
      </c>
      <c r="L239" s="2">
        <v>62</v>
      </c>
      <c r="M239" s="2"/>
      <c r="N239" s="2"/>
    </row>
    <row r="240" spans="1:14">
      <c r="A240" s="2">
        <v>6</v>
      </c>
      <c r="B240" s="2">
        <f t="shared" si="3"/>
        <v>19516</v>
      </c>
      <c r="C240" s="2" t="s">
        <v>230</v>
      </c>
      <c r="D240" s="2" t="s">
        <v>456</v>
      </c>
      <c r="E240" s="2" t="s">
        <v>531</v>
      </c>
      <c r="F240" s="4">
        <v>195160002030</v>
      </c>
      <c r="G240" s="2" t="s">
        <v>256</v>
      </c>
      <c r="H240" s="2" t="s">
        <v>10</v>
      </c>
      <c r="I240" s="3">
        <v>45909</v>
      </c>
      <c r="J240" s="2">
        <v>5850.43</v>
      </c>
      <c r="K240" s="2">
        <v>5850.43</v>
      </c>
      <c r="L240" s="2">
        <v>70</v>
      </c>
      <c r="M240" s="2"/>
      <c r="N240" s="2"/>
    </row>
    <row r="241" spans="1:14">
      <c r="A241" s="2">
        <v>6</v>
      </c>
      <c r="B241" s="2">
        <f t="shared" si="3"/>
        <v>19516</v>
      </c>
      <c r="C241" s="2" t="s">
        <v>230</v>
      </c>
      <c r="D241" s="2" t="s">
        <v>456</v>
      </c>
      <c r="E241" s="2" t="s">
        <v>531</v>
      </c>
      <c r="F241" s="4">
        <v>195160000843</v>
      </c>
      <c r="G241" s="2" t="s">
        <v>257</v>
      </c>
      <c r="H241" s="2" t="s">
        <v>13</v>
      </c>
      <c r="I241" s="3">
        <v>45776</v>
      </c>
      <c r="J241" s="2">
        <v>8903.0499999999993</v>
      </c>
      <c r="K241" s="2">
        <v>8903.0499999999993</v>
      </c>
      <c r="L241" s="2">
        <v>203</v>
      </c>
      <c r="M241" s="2"/>
      <c r="N241" s="2"/>
    </row>
    <row r="242" spans="1:14">
      <c r="A242" s="2">
        <v>6</v>
      </c>
      <c r="B242" s="2">
        <f t="shared" si="3"/>
        <v>19516</v>
      </c>
      <c r="C242" s="2" t="s">
        <v>230</v>
      </c>
      <c r="D242" s="2" t="s">
        <v>456</v>
      </c>
      <c r="E242" s="2" t="s">
        <v>531</v>
      </c>
      <c r="F242" s="4">
        <v>195160000860</v>
      </c>
      <c r="G242" s="2" t="s">
        <v>258</v>
      </c>
      <c r="H242" s="2" t="s">
        <v>13</v>
      </c>
      <c r="I242" s="3">
        <v>45776</v>
      </c>
      <c r="J242" s="2">
        <v>10181.01</v>
      </c>
      <c r="K242" s="2">
        <v>10181.01</v>
      </c>
      <c r="L242" s="2">
        <v>203</v>
      </c>
      <c r="M242" s="2"/>
      <c r="N242" s="2"/>
    </row>
    <row r="243" spans="1:14">
      <c r="A243" s="2">
        <v>6</v>
      </c>
      <c r="B243" s="2">
        <f t="shared" si="3"/>
        <v>19516</v>
      </c>
      <c r="C243" s="2" t="s">
        <v>230</v>
      </c>
      <c r="D243" s="2" t="s">
        <v>456</v>
      </c>
      <c r="E243" s="2" t="s">
        <v>531</v>
      </c>
      <c r="F243" s="4">
        <v>195160001581</v>
      </c>
      <c r="G243" s="2" t="s">
        <v>259</v>
      </c>
      <c r="H243" s="2" t="s">
        <v>13</v>
      </c>
      <c r="I243" s="3">
        <v>44643</v>
      </c>
      <c r="J243" s="2">
        <v>21631.83</v>
      </c>
      <c r="K243" s="2">
        <v>21631.83</v>
      </c>
      <c r="L243" s="2">
        <v>1336</v>
      </c>
      <c r="M243" s="3">
        <v>43785</v>
      </c>
      <c r="N243" s="2"/>
    </row>
    <row r="244" spans="1:14">
      <c r="A244" s="2">
        <v>6</v>
      </c>
      <c r="B244" s="2">
        <f t="shared" si="3"/>
        <v>19516</v>
      </c>
      <c r="C244" s="2" t="s">
        <v>230</v>
      </c>
      <c r="D244" s="2" t="s">
        <v>456</v>
      </c>
      <c r="E244" s="2" t="s">
        <v>531</v>
      </c>
      <c r="F244" s="4">
        <v>195160038140</v>
      </c>
      <c r="G244" s="2" t="s">
        <v>260</v>
      </c>
      <c r="H244" s="2" t="s">
        <v>12</v>
      </c>
      <c r="I244" s="3">
        <v>45343</v>
      </c>
      <c r="J244" s="2">
        <v>9716.93</v>
      </c>
      <c r="K244" s="2">
        <v>9716.93</v>
      </c>
      <c r="L244" s="2">
        <v>636</v>
      </c>
      <c r="M244" s="3">
        <v>45686</v>
      </c>
      <c r="N244" s="2"/>
    </row>
    <row r="245" spans="1:14">
      <c r="A245" s="2">
        <v>6</v>
      </c>
      <c r="B245" s="2">
        <f t="shared" si="3"/>
        <v>19516</v>
      </c>
      <c r="C245" s="2" t="s">
        <v>230</v>
      </c>
      <c r="D245" s="2" t="s">
        <v>456</v>
      </c>
      <c r="E245" s="2" t="s">
        <v>531</v>
      </c>
      <c r="F245" s="4">
        <v>195161983964</v>
      </c>
      <c r="G245" s="2" t="s">
        <v>261</v>
      </c>
      <c r="H245" s="2" t="s">
        <v>12</v>
      </c>
      <c r="I245" s="3">
        <v>45713</v>
      </c>
      <c r="J245" s="2">
        <v>8088.38</v>
      </c>
      <c r="K245" s="2">
        <v>8088.38</v>
      </c>
      <c r="L245" s="2">
        <v>266</v>
      </c>
      <c r="M245" s="2"/>
      <c r="N245" s="2"/>
    </row>
    <row r="246" spans="1:14">
      <c r="A246" s="2">
        <v>6</v>
      </c>
      <c r="B246" s="2">
        <f t="shared" si="3"/>
        <v>19516</v>
      </c>
      <c r="C246" s="2" t="s">
        <v>230</v>
      </c>
      <c r="D246" s="2" t="s">
        <v>456</v>
      </c>
      <c r="E246" s="2" t="s">
        <v>531</v>
      </c>
      <c r="F246" s="4">
        <v>195160001211</v>
      </c>
      <c r="G246" s="2" t="s">
        <v>262</v>
      </c>
      <c r="H246" s="2" t="s">
        <v>12</v>
      </c>
      <c r="I246" s="3">
        <v>45508</v>
      </c>
      <c r="J246" s="2">
        <v>5966.77</v>
      </c>
      <c r="K246" s="2">
        <v>5966.77</v>
      </c>
      <c r="L246" s="2">
        <v>471</v>
      </c>
      <c r="M246" s="2"/>
      <c r="N246" s="2"/>
    </row>
    <row r="247" spans="1:14">
      <c r="A247" s="2">
        <v>6</v>
      </c>
      <c r="B247" s="2">
        <f t="shared" si="3"/>
        <v>19516</v>
      </c>
      <c r="C247" s="2" t="s">
        <v>230</v>
      </c>
      <c r="D247" s="2" t="s">
        <v>456</v>
      </c>
      <c r="E247" s="2" t="s">
        <v>531</v>
      </c>
      <c r="F247" s="4">
        <v>195160000886</v>
      </c>
      <c r="G247" s="2" t="s">
        <v>263</v>
      </c>
      <c r="H247" s="2" t="s">
        <v>10</v>
      </c>
      <c r="I247" s="3">
        <v>45657</v>
      </c>
      <c r="J247" s="2">
        <v>21578.61</v>
      </c>
      <c r="K247" s="2">
        <v>21578.61</v>
      </c>
      <c r="L247" s="2">
        <v>322</v>
      </c>
      <c r="M247" s="3">
        <v>45793</v>
      </c>
      <c r="N247" s="2"/>
    </row>
    <row r="248" spans="1:14">
      <c r="A248" s="2">
        <v>6</v>
      </c>
      <c r="B248" s="2">
        <f t="shared" si="3"/>
        <v>19516</v>
      </c>
      <c r="C248" s="2" t="s">
        <v>230</v>
      </c>
      <c r="D248" s="2" t="s">
        <v>456</v>
      </c>
      <c r="E248" s="2" t="s">
        <v>531</v>
      </c>
      <c r="F248" s="4">
        <v>195160001670</v>
      </c>
      <c r="G248" s="2" t="s">
        <v>264</v>
      </c>
      <c r="H248" s="2" t="s">
        <v>10</v>
      </c>
      <c r="I248" s="3">
        <v>45855</v>
      </c>
      <c r="J248" s="2">
        <v>7523.77</v>
      </c>
      <c r="K248" s="2">
        <v>7523.77</v>
      </c>
      <c r="L248" s="2">
        <v>124</v>
      </c>
      <c r="M248" s="2"/>
      <c r="N248" s="2"/>
    </row>
    <row r="249" spans="1:14">
      <c r="A249" s="2">
        <v>6</v>
      </c>
      <c r="B249" s="2">
        <f t="shared" si="3"/>
        <v>19603</v>
      </c>
      <c r="C249" s="2" t="s">
        <v>230</v>
      </c>
      <c r="D249" s="2" t="s">
        <v>457</v>
      </c>
      <c r="E249" s="2" t="s">
        <v>531</v>
      </c>
      <c r="F249" s="4">
        <v>196031990388</v>
      </c>
      <c r="G249" s="2" t="s">
        <v>265</v>
      </c>
      <c r="H249" s="2" t="s">
        <v>13</v>
      </c>
      <c r="I249" s="3">
        <v>45776</v>
      </c>
      <c r="J249" s="2">
        <v>8840.7800000000007</v>
      </c>
      <c r="K249" s="2">
        <v>8840.7800000000007</v>
      </c>
      <c r="L249" s="2">
        <v>203</v>
      </c>
      <c r="M249" s="2"/>
      <c r="N249" s="2"/>
    </row>
    <row r="250" spans="1:14">
      <c r="A250" s="2">
        <v>6</v>
      </c>
      <c r="B250" s="2">
        <f t="shared" si="3"/>
        <v>19673</v>
      </c>
      <c r="C250" s="2" t="s">
        <v>230</v>
      </c>
      <c r="D250" s="2" t="s">
        <v>458</v>
      </c>
      <c r="E250" s="2" t="s">
        <v>528</v>
      </c>
      <c r="F250" s="4">
        <v>196731998100</v>
      </c>
      <c r="G250" s="2" t="s">
        <v>228</v>
      </c>
      <c r="H250" s="2" t="s">
        <v>13</v>
      </c>
      <c r="I250" s="3">
        <v>45776</v>
      </c>
      <c r="J250" s="2">
        <v>9339.48</v>
      </c>
      <c r="K250" s="2">
        <v>9339.48</v>
      </c>
      <c r="L250" s="2">
        <v>203</v>
      </c>
      <c r="M250" s="2"/>
      <c r="N250" s="2"/>
    </row>
    <row r="251" spans="1:14">
      <c r="A251" s="2">
        <v>6</v>
      </c>
      <c r="B251" s="2">
        <f t="shared" si="3"/>
        <v>19606</v>
      </c>
      <c r="C251" s="2" t="s">
        <v>230</v>
      </c>
      <c r="D251" s="2" t="s">
        <v>459</v>
      </c>
      <c r="E251" s="2" t="s">
        <v>531</v>
      </c>
      <c r="F251" s="4">
        <v>196061990471</v>
      </c>
      <c r="G251" s="2" t="s">
        <v>266</v>
      </c>
      <c r="H251" s="2" t="s">
        <v>13</v>
      </c>
      <c r="I251" s="3">
        <v>45776</v>
      </c>
      <c r="J251" s="2">
        <v>9595.07</v>
      </c>
      <c r="K251" s="2">
        <v>9595.07</v>
      </c>
      <c r="L251" s="2">
        <v>203</v>
      </c>
      <c r="M251" s="2"/>
      <c r="N251" s="2"/>
    </row>
    <row r="252" spans="1:14">
      <c r="A252" s="2">
        <v>6</v>
      </c>
      <c r="B252" s="2">
        <f t="shared" si="3"/>
        <v>19601</v>
      </c>
      <c r="C252" s="2" t="s">
        <v>230</v>
      </c>
      <c r="D252" s="2" t="s">
        <v>460</v>
      </c>
      <c r="E252" s="2" t="s">
        <v>533</v>
      </c>
      <c r="F252" s="4">
        <v>196010097420</v>
      </c>
      <c r="G252" s="2" t="s">
        <v>144</v>
      </c>
      <c r="H252" s="2" t="s">
        <v>13</v>
      </c>
      <c r="I252" s="3">
        <v>45776</v>
      </c>
      <c r="J252" s="2">
        <v>7924.68</v>
      </c>
      <c r="K252" s="2">
        <v>7924.68</v>
      </c>
      <c r="L252" s="2">
        <v>203</v>
      </c>
      <c r="M252" s="2"/>
      <c r="N252" s="2"/>
    </row>
    <row r="253" spans="1:14">
      <c r="A253" s="2">
        <v>6</v>
      </c>
      <c r="B253" s="2">
        <f t="shared" si="3"/>
        <v>19601</v>
      </c>
      <c r="C253" s="2" t="s">
        <v>230</v>
      </c>
      <c r="D253" s="2" t="s">
        <v>460</v>
      </c>
      <c r="E253" s="2" t="s">
        <v>533</v>
      </c>
      <c r="F253" s="4">
        <v>196012004470</v>
      </c>
      <c r="G253" s="2" t="s">
        <v>267</v>
      </c>
      <c r="H253" s="2" t="s">
        <v>10</v>
      </c>
      <c r="I253" s="3">
        <v>45934</v>
      </c>
      <c r="J253" s="2">
        <v>5454.66</v>
      </c>
      <c r="K253" s="2">
        <v>5454.66</v>
      </c>
      <c r="L253" s="2">
        <v>45</v>
      </c>
      <c r="M253" s="2"/>
      <c r="N253" s="2"/>
    </row>
    <row r="254" spans="1:14">
      <c r="A254" s="2">
        <v>6</v>
      </c>
      <c r="B254" s="2">
        <f t="shared" si="3"/>
        <v>19601</v>
      </c>
      <c r="C254" s="2" t="s">
        <v>230</v>
      </c>
      <c r="D254" s="2" t="s">
        <v>460</v>
      </c>
      <c r="E254" s="2" t="s">
        <v>533</v>
      </c>
      <c r="F254" s="4">
        <v>196010000655</v>
      </c>
      <c r="G254" s="2" t="s">
        <v>268</v>
      </c>
      <c r="H254" s="2" t="s">
        <v>13</v>
      </c>
      <c r="I254" s="3">
        <v>45776</v>
      </c>
      <c r="J254" s="2">
        <v>9766.15</v>
      </c>
      <c r="K254" s="2">
        <v>9766.15</v>
      </c>
      <c r="L254" s="2">
        <v>203</v>
      </c>
      <c r="M254" s="2"/>
      <c r="N254" s="2"/>
    </row>
    <row r="255" spans="1:14">
      <c r="A255" s="2">
        <v>6</v>
      </c>
      <c r="B255" s="2">
        <f t="shared" si="3"/>
        <v>19601</v>
      </c>
      <c r="C255" s="2" t="s">
        <v>230</v>
      </c>
      <c r="D255" s="2" t="s">
        <v>460</v>
      </c>
      <c r="E255" s="2" t="s">
        <v>533</v>
      </c>
      <c r="F255" s="4">
        <v>196011985841</v>
      </c>
      <c r="G255" s="2" t="s">
        <v>269</v>
      </c>
      <c r="H255" s="2" t="s">
        <v>12</v>
      </c>
      <c r="I255" s="3">
        <v>45716</v>
      </c>
      <c r="J255" s="2">
        <v>12273.46</v>
      </c>
      <c r="K255" s="2">
        <v>12273.46</v>
      </c>
      <c r="L255" s="2">
        <v>263</v>
      </c>
      <c r="M255" s="2"/>
      <c r="N255" s="2"/>
    </row>
    <row r="256" spans="1:14">
      <c r="A256" s="2">
        <v>6</v>
      </c>
      <c r="B256" s="2">
        <f t="shared" si="3"/>
        <v>19628</v>
      </c>
      <c r="C256" s="2" t="s">
        <v>230</v>
      </c>
      <c r="D256" s="2" t="s">
        <v>461</v>
      </c>
      <c r="E256" s="2" t="s">
        <v>533</v>
      </c>
      <c r="F256" s="4">
        <v>196280000673</v>
      </c>
      <c r="G256" s="2" t="s">
        <v>270</v>
      </c>
      <c r="H256" s="2" t="s">
        <v>13</v>
      </c>
      <c r="I256" s="3">
        <v>45776</v>
      </c>
      <c r="J256" s="2">
        <v>9460.52</v>
      </c>
      <c r="K256" s="2">
        <v>9460.52</v>
      </c>
      <c r="L256" s="2">
        <v>203</v>
      </c>
      <c r="M256" s="2"/>
      <c r="N256" s="2"/>
    </row>
    <row r="257" spans="1:14">
      <c r="A257" s="2">
        <v>6</v>
      </c>
      <c r="B257" s="2">
        <f t="shared" si="3"/>
        <v>18716</v>
      </c>
      <c r="C257" s="2" t="s">
        <v>230</v>
      </c>
      <c r="D257" s="2" t="s">
        <v>462</v>
      </c>
      <c r="E257" s="2" t="s">
        <v>532</v>
      </c>
      <c r="F257" s="4">
        <v>187161998039</v>
      </c>
      <c r="G257" s="2" t="s">
        <v>271</v>
      </c>
      <c r="H257" s="2" t="s">
        <v>13</v>
      </c>
      <c r="I257" s="3">
        <v>45776</v>
      </c>
      <c r="J257" s="2">
        <v>11492.16</v>
      </c>
      <c r="K257" s="2">
        <v>11492.16</v>
      </c>
      <c r="L257" s="2">
        <v>203</v>
      </c>
      <c r="M257" s="2"/>
      <c r="N257" s="2"/>
    </row>
    <row r="258" spans="1:14">
      <c r="A258" s="2">
        <v>6</v>
      </c>
      <c r="B258" s="2">
        <f t="shared" si="3"/>
        <v>19650</v>
      </c>
      <c r="C258" s="2" t="s">
        <v>230</v>
      </c>
      <c r="D258" s="2" t="s">
        <v>463</v>
      </c>
      <c r="E258" s="2" t="s">
        <v>532</v>
      </c>
      <c r="F258" s="4">
        <v>196500113822</v>
      </c>
      <c r="G258" s="2" t="s">
        <v>272</v>
      </c>
      <c r="H258" s="2" t="s">
        <v>12</v>
      </c>
      <c r="I258" s="3">
        <v>45905</v>
      </c>
      <c r="J258" s="2">
        <v>5980.5</v>
      </c>
      <c r="K258" s="2">
        <v>5980.5</v>
      </c>
      <c r="L258" s="2">
        <v>74</v>
      </c>
      <c r="M258" s="2"/>
      <c r="N258" s="2"/>
    </row>
    <row r="259" spans="1:14">
      <c r="A259" s="2">
        <v>6</v>
      </c>
      <c r="B259" s="2">
        <f t="shared" ref="B259:B317" si="4">VALUE(LEFT(F259,5))</f>
        <v>19652</v>
      </c>
      <c r="C259" s="2" t="s">
        <v>230</v>
      </c>
      <c r="D259" s="2" t="s">
        <v>464</v>
      </c>
      <c r="E259" s="2" t="s">
        <v>532</v>
      </c>
      <c r="F259" s="4">
        <v>196521998328</v>
      </c>
      <c r="G259" s="2" t="s">
        <v>273</v>
      </c>
      <c r="H259" s="2" t="s">
        <v>13</v>
      </c>
      <c r="I259" s="3">
        <v>45776</v>
      </c>
      <c r="J259" s="2">
        <v>8203.52</v>
      </c>
      <c r="K259" s="2">
        <v>8203.52</v>
      </c>
      <c r="L259" s="2">
        <v>203</v>
      </c>
      <c r="M259" s="2"/>
      <c r="N259" s="2"/>
    </row>
    <row r="260" spans="1:14">
      <c r="A260" s="2">
        <v>6</v>
      </c>
      <c r="B260" s="2">
        <f t="shared" si="4"/>
        <v>19652</v>
      </c>
      <c r="C260" s="2" t="s">
        <v>230</v>
      </c>
      <c r="D260" s="2" t="s">
        <v>464</v>
      </c>
      <c r="E260" s="2" t="s">
        <v>532</v>
      </c>
      <c r="F260" s="4">
        <v>196520000650</v>
      </c>
      <c r="G260" s="2" t="s">
        <v>274</v>
      </c>
      <c r="H260" s="2" t="s">
        <v>13</v>
      </c>
      <c r="I260" s="3">
        <v>45187</v>
      </c>
      <c r="J260" s="2">
        <v>15161.44</v>
      </c>
      <c r="K260" s="2">
        <v>15161.44</v>
      </c>
      <c r="L260" s="2">
        <v>792</v>
      </c>
      <c r="M260" s="3">
        <v>45818</v>
      </c>
      <c r="N260" s="2"/>
    </row>
    <row r="261" spans="1:14">
      <c r="A261" s="2">
        <v>6</v>
      </c>
      <c r="B261" s="2">
        <f t="shared" si="4"/>
        <v>19619</v>
      </c>
      <c r="C261" s="2" t="s">
        <v>230</v>
      </c>
      <c r="D261" s="2" t="s">
        <v>465</v>
      </c>
      <c r="E261" s="2" t="s">
        <v>533</v>
      </c>
      <c r="F261" s="4">
        <v>196191997567</v>
      </c>
      <c r="G261" s="2" t="s">
        <v>275</v>
      </c>
      <c r="H261" s="2" t="s">
        <v>13</v>
      </c>
      <c r="I261" s="3">
        <v>45776</v>
      </c>
      <c r="J261" s="2">
        <v>9384.75</v>
      </c>
      <c r="K261" s="2">
        <v>9384.75</v>
      </c>
      <c r="L261" s="2">
        <v>203</v>
      </c>
      <c r="M261" s="2"/>
      <c r="N261" s="2"/>
    </row>
    <row r="262" spans="1:14">
      <c r="A262" s="2">
        <v>6</v>
      </c>
      <c r="B262" s="2">
        <f t="shared" si="4"/>
        <v>19619</v>
      </c>
      <c r="C262" s="2" t="s">
        <v>230</v>
      </c>
      <c r="D262" s="2" t="s">
        <v>465</v>
      </c>
      <c r="E262" s="2" t="s">
        <v>533</v>
      </c>
      <c r="F262" s="4">
        <v>196190103732</v>
      </c>
      <c r="G262" s="2" t="s">
        <v>276</v>
      </c>
      <c r="H262" s="2" t="s">
        <v>12</v>
      </c>
      <c r="I262" s="3">
        <v>45796</v>
      </c>
      <c r="J262" s="2">
        <v>5609.79</v>
      </c>
      <c r="K262" s="2">
        <v>5609.79</v>
      </c>
      <c r="L262" s="2">
        <v>183</v>
      </c>
      <c r="M262" s="2"/>
      <c r="N262" s="2"/>
    </row>
    <row r="263" spans="1:14">
      <c r="A263" s="2">
        <v>6</v>
      </c>
      <c r="B263" s="2">
        <f t="shared" si="4"/>
        <v>19619</v>
      </c>
      <c r="C263" s="2" t="s">
        <v>230</v>
      </c>
      <c r="D263" s="2" t="s">
        <v>465</v>
      </c>
      <c r="E263" s="2" t="s">
        <v>533</v>
      </c>
      <c r="F263" s="4">
        <v>196190001298</v>
      </c>
      <c r="G263" s="2" t="s">
        <v>277</v>
      </c>
      <c r="H263" s="2" t="s">
        <v>13</v>
      </c>
      <c r="I263" s="3">
        <v>45776</v>
      </c>
      <c r="J263" s="2">
        <v>13120.96</v>
      </c>
      <c r="K263" s="2">
        <v>13570.96</v>
      </c>
      <c r="L263" s="2">
        <v>203</v>
      </c>
      <c r="M263" s="2"/>
      <c r="N263" s="2"/>
    </row>
    <row r="264" spans="1:14">
      <c r="A264" s="2">
        <v>6</v>
      </c>
      <c r="B264" s="2">
        <f t="shared" si="4"/>
        <v>18716</v>
      </c>
      <c r="C264" s="2" t="s">
        <v>230</v>
      </c>
      <c r="D264" s="2" t="s">
        <v>462</v>
      </c>
      <c r="E264" s="2" t="s">
        <v>532</v>
      </c>
      <c r="F264" s="4">
        <v>187160000956</v>
      </c>
      <c r="G264" s="2" t="s">
        <v>278</v>
      </c>
      <c r="H264" s="2" t="s">
        <v>12</v>
      </c>
      <c r="I264" s="3">
        <v>45903</v>
      </c>
      <c r="J264" s="2">
        <v>7815.99</v>
      </c>
      <c r="K264" s="2">
        <v>7815.99</v>
      </c>
      <c r="L264" s="2">
        <v>76</v>
      </c>
      <c r="M264" s="2"/>
      <c r="N264" s="2"/>
    </row>
    <row r="265" spans="1:14">
      <c r="A265" s="2">
        <v>6</v>
      </c>
      <c r="B265" s="2">
        <f t="shared" si="4"/>
        <v>18828</v>
      </c>
      <c r="C265" s="2" t="s">
        <v>230</v>
      </c>
      <c r="D265" s="2" t="s">
        <v>466</v>
      </c>
      <c r="E265" s="2" t="s">
        <v>533</v>
      </c>
      <c r="F265" s="4">
        <v>188280000905</v>
      </c>
      <c r="G265" s="2" t="s">
        <v>279</v>
      </c>
      <c r="H265" s="2" t="s">
        <v>12</v>
      </c>
      <c r="I265" s="3">
        <v>45364</v>
      </c>
      <c r="J265" s="2">
        <v>5378.63</v>
      </c>
      <c r="K265" s="2">
        <v>5378.63</v>
      </c>
      <c r="L265" s="2">
        <v>615</v>
      </c>
      <c r="M265" s="3">
        <v>45665</v>
      </c>
      <c r="N265" s="2"/>
    </row>
    <row r="266" spans="1:14">
      <c r="A266" s="2">
        <v>6</v>
      </c>
      <c r="B266" s="2">
        <f t="shared" si="4"/>
        <v>19660</v>
      </c>
      <c r="C266" s="2" t="s">
        <v>230</v>
      </c>
      <c r="D266" s="2" t="s">
        <v>230</v>
      </c>
      <c r="E266" s="2" t="s">
        <v>530</v>
      </c>
      <c r="F266" s="4">
        <v>196600116250</v>
      </c>
      <c r="G266" s="2" t="s">
        <v>280</v>
      </c>
      <c r="H266" s="2" t="s">
        <v>10</v>
      </c>
      <c r="I266" s="3">
        <v>45909</v>
      </c>
      <c r="J266" s="2">
        <v>5351.8</v>
      </c>
      <c r="K266" s="2">
        <v>5351.8</v>
      </c>
      <c r="L266" s="2">
        <v>70</v>
      </c>
      <c r="M266" s="2"/>
      <c r="N266" s="2"/>
    </row>
    <row r="267" spans="1:14">
      <c r="A267" s="2">
        <v>6</v>
      </c>
      <c r="B267" s="2">
        <f t="shared" si="4"/>
        <v>19660</v>
      </c>
      <c r="C267" s="2" t="s">
        <v>230</v>
      </c>
      <c r="D267" s="2" t="s">
        <v>230</v>
      </c>
      <c r="E267" s="2" t="s">
        <v>530</v>
      </c>
      <c r="F267" s="4">
        <v>196600001169</v>
      </c>
      <c r="G267" s="2" t="s">
        <v>281</v>
      </c>
      <c r="H267" s="2" t="s">
        <v>12</v>
      </c>
      <c r="I267" s="3">
        <v>45818</v>
      </c>
      <c r="J267" s="2">
        <v>6486.86</v>
      </c>
      <c r="K267" s="2">
        <v>6486.86</v>
      </c>
      <c r="L267" s="2">
        <v>161</v>
      </c>
      <c r="M267" s="2"/>
      <c r="N267" s="2"/>
    </row>
    <row r="268" spans="1:14">
      <c r="A268" s="2">
        <v>6</v>
      </c>
      <c r="B268" s="2">
        <f t="shared" si="4"/>
        <v>19660</v>
      </c>
      <c r="C268" s="2" t="s">
        <v>230</v>
      </c>
      <c r="D268" s="2" t="s">
        <v>230</v>
      </c>
      <c r="E268" s="2" t="s">
        <v>530</v>
      </c>
      <c r="F268" s="4">
        <v>196601983895</v>
      </c>
      <c r="G268" s="2" t="s">
        <v>282</v>
      </c>
      <c r="H268" s="2" t="s">
        <v>10</v>
      </c>
      <c r="I268" s="3">
        <v>45867</v>
      </c>
      <c r="J268" s="2">
        <v>7104.59</v>
      </c>
      <c r="K268" s="2">
        <v>7104.59</v>
      </c>
      <c r="L268" s="2">
        <v>112</v>
      </c>
      <c r="M268" s="2"/>
      <c r="N268" s="2"/>
    </row>
    <row r="269" spans="1:14">
      <c r="A269" s="2">
        <v>6</v>
      </c>
      <c r="B269" s="2">
        <f t="shared" si="4"/>
        <v>19660</v>
      </c>
      <c r="C269" s="2" t="s">
        <v>230</v>
      </c>
      <c r="D269" s="2" t="s">
        <v>230</v>
      </c>
      <c r="E269" s="2" t="s">
        <v>530</v>
      </c>
      <c r="F269" s="4">
        <v>196600000774</v>
      </c>
      <c r="G269" s="2" t="s">
        <v>283</v>
      </c>
      <c r="H269" s="2" t="s">
        <v>13</v>
      </c>
      <c r="I269" s="3">
        <v>45044</v>
      </c>
      <c r="J269" s="2">
        <v>16187.86</v>
      </c>
      <c r="K269" s="2">
        <v>16187.86</v>
      </c>
      <c r="L269" s="2">
        <v>935</v>
      </c>
      <c r="M269" s="3">
        <v>45916</v>
      </c>
      <c r="N269" s="2"/>
    </row>
    <row r="270" spans="1:14">
      <c r="A270" s="2">
        <v>6</v>
      </c>
      <c r="B270" s="2">
        <f t="shared" si="4"/>
        <v>19660</v>
      </c>
      <c r="C270" s="2" t="s">
        <v>230</v>
      </c>
      <c r="D270" s="2" t="s">
        <v>230</v>
      </c>
      <c r="E270" s="2" t="s">
        <v>530</v>
      </c>
      <c r="F270" s="4">
        <v>196601986576</v>
      </c>
      <c r="G270" s="2" t="s">
        <v>284</v>
      </c>
      <c r="H270" s="2" t="s">
        <v>10</v>
      </c>
      <c r="I270" s="3">
        <v>45897</v>
      </c>
      <c r="J270" s="2">
        <v>9384.82</v>
      </c>
      <c r="K270" s="2">
        <v>9384.82</v>
      </c>
      <c r="L270" s="2">
        <v>82</v>
      </c>
      <c r="M270" s="2"/>
      <c r="N270" s="2"/>
    </row>
    <row r="271" spans="1:14">
      <c r="A271" s="2">
        <v>6</v>
      </c>
      <c r="B271" s="2">
        <f t="shared" si="4"/>
        <v>19535</v>
      </c>
      <c r="C271" s="2" t="s">
        <v>230</v>
      </c>
      <c r="D271" s="2" t="s">
        <v>467</v>
      </c>
      <c r="E271" s="2" t="s">
        <v>530</v>
      </c>
      <c r="F271" s="4">
        <v>195352000197</v>
      </c>
      <c r="G271" s="2" t="s">
        <v>285</v>
      </c>
      <c r="H271" s="2" t="s">
        <v>13</v>
      </c>
      <c r="I271" s="3">
        <v>45776</v>
      </c>
      <c r="J271" s="2">
        <v>10898.78</v>
      </c>
      <c r="K271" s="2">
        <v>10898.78</v>
      </c>
      <c r="L271" s="2">
        <v>203</v>
      </c>
      <c r="M271" s="2"/>
      <c r="N271" s="2"/>
    </row>
    <row r="272" spans="1:14">
      <c r="A272" s="2">
        <v>6</v>
      </c>
      <c r="B272" s="2">
        <f t="shared" si="4"/>
        <v>19539</v>
      </c>
      <c r="C272" s="2" t="s">
        <v>230</v>
      </c>
      <c r="D272" s="2" t="s">
        <v>449</v>
      </c>
      <c r="E272" s="2" t="s">
        <v>530</v>
      </c>
      <c r="F272" s="4">
        <v>195391997522</v>
      </c>
      <c r="G272" s="2" t="s">
        <v>286</v>
      </c>
      <c r="H272" s="2" t="s">
        <v>13</v>
      </c>
      <c r="I272" s="3">
        <v>45776</v>
      </c>
      <c r="J272" s="2">
        <v>10016.61</v>
      </c>
      <c r="K272" s="2">
        <v>10016.61</v>
      </c>
      <c r="L272" s="2">
        <v>203</v>
      </c>
      <c r="M272" s="2"/>
      <c r="N272" s="2"/>
    </row>
    <row r="273" spans="1:14">
      <c r="A273" s="2">
        <v>6</v>
      </c>
      <c r="B273" s="2">
        <f t="shared" si="4"/>
        <v>19539</v>
      </c>
      <c r="C273" s="2" t="s">
        <v>230</v>
      </c>
      <c r="D273" s="2" t="s">
        <v>449</v>
      </c>
      <c r="E273" s="2" t="s">
        <v>530</v>
      </c>
      <c r="F273" s="4">
        <v>195390001083</v>
      </c>
      <c r="G273" s="2" t="s">
        <v>287</v>
      </c>
      <c r="H273" s="2" t="s">
        <v>10</v>
      </c>
      <c r="I273" s="3">
        <v>45944</v>
      </c>
      <c r="J273" s="2">
        <v>5435.5</v>
      </c>
      <c r="K273" s="2">
        <v>5435.5</v>
      </c>
      <c r="L273" s="2">
        <v>35</v>
      </c>
      <c r="M273" s="2"/>
      <c r="N273" s="2"/>
    </row>
    <row r="274" spans="1:14">
      <c r="A274" s="2">
        <v>6</v>
      </c>
      <c r="B274" s="2">
        <f t="shared" si="4"/>
        <v>19539</v>
      </c>
      <c r="C274" s="2" t="s">
        <v>230</v>
      </c>
      <c r="D274" s="2" t="s">
        <v>449</v>
      </c>
      <c r="E274" s="2" t="s">
        <v>530</v>
      </c>
      <c r="F274" s="4">
        <v>195392002214</v>
      </c>
      <c r="G274" s="2" t="s">
        <v>288</v>
      </c>
      <c r="H274" s="2" t="s">
        <v>13</v>
      </c>
      <c r="I274" s="3">
        <v>45776</v>
      </c>
      <c r="J274" s="2">
        <v>10099.09</v>
      </c>
      <c r="K274" s="2">
        <v>10099.09</v>
      </c>
      <c r="L274" s="2">
        <v>203</v>
      </c>
      <c r="M274" s="2"/>
      <c r="N274" s="2"/>
    </row>
    <row r="275" spans="1:14">
      <c r="A275" s="2">
        <v>6</v>
      </c>
      <c r="B275" s="2">
        <f t="shared" si="4"/>
        <v>19541</v>
      </c>
      <c r="C275" s="2" t="s">
        <v>230</v>
      </c>
      <c r="D275" s="2" t="s">
        <v>468</v>
      </c>
      <c r="E275" s="2" t="s">
        <v>526</v>
      </c>
      <c r="F275" s="4">
        <v>195411984392</v>
      </c>
      <c r="G275" s="2" t="s">
        <v>289</v>
      </c>
      <c r="H275" s="2" t="s">
        <v>12</v>
      </c>
      <c r="I275" s="3">
        <v>45365</v>
      </c>
      <c r="J275" s="2">
        <v>5949.03</v>
      </c>
      <c r="K275" s="2">
        <v>5949.03</v>
      </c>
      <c r="L275" s="2">
        <v>614</v>
      </c>
      <c r="M275" s="3">
        <v>45679</v>
      </c>
      <c r="N275" s="2"/>
    </row>
    <row r="276" spans="1:14">
      <c r="A276" s="2">
        <v>6</v>
      </c>
      <c r="B276" s="2">
        <f t="shared" si="4"/>
        <v>19566</v>
      </c>
      <c r="C276" s="2" t="s">
        <v>230</v>
      </c>
      <c r="D276" s="2" t="s">
        <v>469</v>
      </c>
      <c r="E276" s="2" t="s">
        <v>526</v>
      </c>
      <c r="F276" s="4">
        <v>195660076579</v>
      </c>
      <c r="G276" s="2" t="s">
        <v>290</v>
      </c>
      <c r="H276" s="2" t="s">
        <v>12</v>
      </c>
      <c r="I276" s="3">
        <v>45444</v>
      </c>
      <c r="J276" s="2">
        <v>5419.85</v>
      </c>
      <c r="K276" s="2">
        <v>5419.85</v>
      </c>
      <c r="L276" s="2">
        <v>535</v>
      </c>
      <c r="M276" s="3">
        <v>45790</v>
      </c>
      <c r="N276" s="2"/>
    </row>
    <row r="277" spans="1:14">
      <c r="A277" s="2">
        <v>6</v>
      </c>
      <c r="B277" s="2">
        <f t="shared" si="4"/>
        <v>19564</v>
      </c>
      <c r="C277" s="2" t="s">
        <v>230</v>
      </c>
      <c r="D277" s="2" t="s">
        <v>470</v>
      </c>
      <c r="E277" s="2" t="s">
        <v>526</v>
      </c>
      <c r="F277" s="4">
        <v>195640000720</v>
      </c>
      <c r="G277" s="2" t="s">
        <v>291</v>
      </c>
      <c r="H277" s="2" t="s">
        <v>12</v>
      </c>
      <c r="I277" s="3">
        <v>45762</v>
      </c>
      <c r="J277" s="2">
        <v>6422.37</v>
      </c>
      <c r="K277" s="2">
        <v>6422.37</v>
      </c>
      <c r="L277" s="2">
        <v>217</v>
      </c>
      <c r="M277" s="2"/>
      <c r="N277" s="2"/>
    </row>
    <row r="278" spans="1:14">
      <c r="A278" s="2">
        <v>6</v>
      </c>
      <c r="B278" s="2">
        <f t="shared" si="4"/>
        <v>18830</v>
      </c>
      <c r="C278" s="2" t="s">
        <v>230</v>
      </c>
      <c r="D278" s="2" t="s">
        <v>471</v>
      </c>
      <c r="E278" s="2" t="s">
        <v>532</v>
      </c>
      <c r="F278" s="4">
        <v>188301998707</v>
      </c>
      <c r="G278" s="2" t="s">
        <v>285</v>
      </c>
      <c r="H278" s="2" t="s">
        <v>13</v>
      </c>
      <c r="I278" s="3">
        <v>45776</v>
      </c>
      <c r="J278" s="2">
        <v>7533.58</v>
      </c>
      <c r="K278" s="2">
        <v>7533.58</v>
      </c>
      <c r="L278" s="2">
        <v>203</v>
      </c>
      <c r="M278" s="2"/>
      <c r="N278" s="2"/>
    </row>
    <row r="279" spans="1:14">
      <c r="A279" s="2">
        <v>6</v>
      </c>
      <c r="B279" s="2">
        <f t="shared" si="4"/>
        <v>19566</v>
      </c>
      <c r="C279" s="2" t="s">
        <v>230</v>
      </c>
      <c r="D279" s="2" t="s">
        <v>469</v>
      </c>
      <c r="E279" s="2" t="s">
        <v>526</v>
      </c>
      <c r="F279" s="4">
        <v>195661998046</v>
      </c>
      <c r="G279" s="2" t="s">
        <v>228</v>
      </c>
      <c r="H279" s="2" t="s">
        <v>13</v>
      </c>
      <c r="I279" s="3">
        <v>45776</v>
      </c>
      <c r="J279" s="2">
        <v>9759.39</v>
      </c>
      <c r="K279" s="2">
        <v>9759.39</v>
      </c>
      <c r="L279" s="2">
        <v>203</v>
      </c>
      <c r="M279" s="2"/>
      <c r="N279" s="2"/>
    </row>
    <row r="280" spans="1:14">
      <c r="A280" s="2">
        <v>6</v>
      </c>
      <c r="B280" s="2">
        <f t="shared" si="4"/>
        <v>19638</v>
      </c>
      <c r="C280" s="2" t="s">
        <v>230</v>
      </c>
      <c r="D280" s="2" t="s">
        <v>472</v>
      </c>
      <c r="E280" s="2" t="s">
        <v>526</v>
      </c>
      <c r="F280" s="4">
        <v>196380000671</v>
      </c>
      <c r="G280" s="2" t="s">
        <v>292</v>
      </c>
      <c r="H280" s="2" t="s">
        <v>13</v>
      </c>
      <c r="I280" s="3">
        <v>45776</v>
      </c>
      <c r="J280" s="2">
        <v>9387.49</v>
      </c>
      <c r="K280" s="2">
        <v>9387.49</v>
      </c>
      <c r="L280" s="2">
        <v>203</v>
      </c>
      <c r="M280" s="2"/>
      <c r="N280" s="2"/>
    </row>
    <row r="281" spans="1:14">
      <c r="A281" s="2">
        <v>6</v>
      </c>
      <c r="B281" s="2">
        <f t="shared" si="4"/>
        <v>19645</v>
      </c>
      <c r="C281" s="2" t="s">
        <v>230</v>
      </c>
      <c r="D281" s="2" t="s">
        <v>473</v>
      </c>
      <c r="E281" s="2" t="s">
        <v>527</v>
      </c>
      <c r="F281" s="4">
        <v>196450000754</v>
      </c>
      <c r="G281" s="2" t="s">
        <v>293</v>
      </c>
      <c r="H281" s="2" t="s">
        <v>12</v>
      </c>
      <c r="I281" s="3">
        <v>45604</v>
      </c>
      <c r="J281" s="2">
        <v>16842.939999999999</v>
      </c>
      <c r="K281" s="2">
        <v>16842.939999999999</v>
      </c>
      <c r="L281" s="2">
        <v>375</v>
      </c>
      <c r="M281" s="2"/>
      <c r="N281" s="2"/>
    </row>
    <row r="282" spans="1:14">
      <c r="A282" s="2">
        <v>6</v>
      </c>
      <c r="B282" s="2">
        <f t="shared" si="4"/>
        <v>19645</v>
      </c>
      <c r="C282" s="2" t="s">
        <v>230</v>
      </c>
      <c r="D282" s="2" t="s">
        <v>473</v>
      </c>
      <c r="E282" s="2" t="s">
        <v>527</v>
      </c>
      <c r="F282" s="4">
        <v>196451997531</v>
      </c>
      <c r="G282" s="2" t="s">
        <v>294</v>
      </c>
      <c r="H282" s="2" t="s">
        <v>13</v>
      </c>
      <c r="I282" s="3">
        <v>45776</v>
      </c>
      <c r="J282" s="2">
        <v>7871.18</v>
      </c>
      <c r="K282" s="2">
        <v>7871.18</v>
      </c>
      <c r="L282" s="2">
        <v>203</v>
      </c>
      <c r="M282" s="2"/>
      <c r="N282" s="2"/>
    </row>
    <row r="283" spans="1:14">
      <c r="A283" s="2">
        <v>6</v>
      </c>
      <c r="B283" s="2">
        <f t="shared" si="4"/>
        <v>19633</v>
      </c>
      <c r="C283" s="2" t="s">
        <v>230</v>
      </c>
      <c r="D283" s="2" t="s">
        <v>474</v>
      </c>
      <c r="E283" s="2" t="s">
        <v>527</v>
      </c>
      <c r="F283" s="4">
        <v>196330109434</v>
      </c>
      <c r="G283" s="2" t="s">
        <v>295</v>
      </c>
      <c r="H283" s="2" t="s">
        <v>12</v>
      </c>
      <c r="I283" s="3">
        <v>45811</v>
      </c>
      <c r="J283" s="2">
        <v>6158.63</v>
      </c>
      <c r="K283" s="2">
        <v>6158.63</v>
      </c>
      <c r="L283" s="2">
        <v>168</v>
      </c>
      <c r="M283" s="2"/>
      <c r="N283" s="2"/>
    </row>
    <row r="284" spans="1:14">
      <c r="A284" s="2">
        <v>6</v>
      </c>
      <c r="B284" s="2">
        <f t="shared" si="4"/>
        <v>19673</v>
      </c>
      <c r="C284" s="2" t="s">
        <v>230</v>
      </c>
      <c r="D284" s="2" t="s">
        <v>458</v>
      </c>
      <c r="E284" s="2" t="s">
        <v>528</v>
      </c>
      <c r="F284" s="4">
        <v>196730000733</v>
      </c>
      <c r="G284" s="2" t="s">
        <v>296</v>
      </c>
      <c r="H284" s="2" t="s">
        <v>10</v>
      </c>
      <c r="I284" s="3">
        <v>45944</v>
      </c>
      <c r="J284" s="2">
        <v>6828.89</v>
      </c>
      <c r="K284" s="2">
        <v>6828.89</v>
      </c>
      <c r="L284" s="2">
        <v>35</v>
      </c>
      <c r="M284" s="2"/>
      <c r="N284" s="2"/>
    </row>
    <row r="285" spans="1:14">
      <c r="A285" s="2">
        <v>6</v>
      </c>
      <c r="B285" s="2">
        <f t="shared" si="4"/>
        <v>19537</v>
      </c>
      <c r="C285" s="2" t="s">
        <v>230</v>
      </c>
      <c r="D285" s="2" t="s">
        <v>475</v>
      </c>
      <c r="E285" s="2" t="s">
        <v>530</v>
      </c>
      <c r="F285" s="4">
        <v>195370000871</v>
      </c>
      <c r="G285" s="2" t="s">
        <v>297</v>
      </c>
      <c r="H285" s="2" t="s">
        <v>10</v>
      </c>
      <c r="I285" s="3">
        <v>45940</v>
      </c>
      <c r="J285" s="2">
        <v>6653.81</v>
      </c>
      <c r="K285" s="2">
        <v>6653.81</v>
      </c>
      <c r="L285" s="2">
        <v>39</v>
      </c>
      <c r="M285" s="2"/>
      <c r="N285" s="2"/>
    </row>
    <row r="286" spans="1:14">
      <c r="A286" s="2">
        <v>6</v>
      </c>
      <c r="B286" s="2">
        <f t="shared" si="4"/>
        <v>19612</v>
      </c>
      <c r="C286" s="2" t="s">
        <v>230</v>
      </c>
      <c r="D286" s="2" t="s">
        <v>476</v>
      </c>
      <c r="E286" s="2" t="s">
        <v>506</v>
      </c>
      <c r="F286" s="4">
        <v>196121998621</v>
      </c>
      <c r="G286" s="2" t="s">
        <v>285</v>
      </c>
      <c r="H286" s="2" t="s">
        <v>13</v>
      </c>
      <c r="I286" s="3">
        <v>45776</v>
      </c>
      <c r="J286" s="2">
        <v>10141.4</v>
      </c>
      <c r="K286" s="2">
        <v>10141.4</v>
      </c>
      <c r="L286" s="2">
        <v>203</v>
      </c>
      <c r="M286" s="2"/>
      <c r="N286" s="2"/>
    </row>
    <row r="287" spans="1:14">
      <c r="A287" s="2">
        <v>6</v>
      </c>
      <c r="B287" s="2">
        <f t="shared" si="4"/>
        <v>19609</v>
      </c>
      <c r="C287" s="2" t="s">
        <v>230</v>
      </c>
      <c r="D287" s="2" t="s">
        <v>448</v>
      </c>
      <c r="E287" s="2" t="s">
        <v>506</v>
      </c>
      <c r="F287" s="4">
        <v>196091997519</v>
      </c>
      <c r="G287" s="2" t="s">
        <v>275</v>
      </c>
      <c r="H287" s="2" t="s">
        <v>13</v>
      </c>
      <c r="I287" s="3">
        <v>45776</v>
      </c>
      <c r="J287" s="2">
        <v>11311.91</v>
      </c>
      <c r="K287" s="2">
        <v>11311.91</v>
      </c>
      <c r="L287" s="2">
        <v>203</v>
      </c>
      <c r="M287" s="2"/>
      <c r="N287" s="2"/>
    </row>
    <row r="288" spans="1:14">
      <c r="A288" s="2">
        <v>6</v>
      </c>
      <c r="B288" s="2">
        <f t="shared" si="4"/>
        <v>19609</v>
      </c>
      <c r="C288" s="2" t="s">
        <v>230</v>
      </c>
      <c r="D288" s="2" t="s">
        <v>448</v>
      </c>
      <c r="E288" s="2" t="s">
        <v>506</v>
      </c>
      <c r="F288" s="4">
        <v>196090001061</v>
      </c>
      <c r="G288" s="2" t="s">
        <v>298</v>
      </c>
      <c r="H288" s="2" t="s">
        <v>10</v>
      </c>
      <c r="I288" s="3">
        <v>45861</v>
      </c>
      <c r="J288" s="2">
        <v>5346.26</v>
      </c>
      <c r="K288" s="2">
        <v>5346.26</v>
      </c>
      <c r="L288" s="2">
        <v>118</v>
      </c>
      <c r="M288" s="2"/>
      <c r="N288" s="2"/>
    </row>
    <row r="289" spans="1:14">
      <c r="A289" s="2">
        <v>6</v>
      </c>
      <c r="B289" s="2">
        <f t="shared" si="4"/>
        <v>19630</v>
      </c>
      <c r="C289" s="2" t="s">
        <v>230</v>
      </c>
      <c r="D289" s="2" t="s">
        <v>447</v>
      </c>
      <c r="E289" s="2" t="s">
        <v>506</v>
      </c>
      <c r="F289" s="4">
        <v>196301997771</v>
      </c>
      <c r="G289" s="2" t="s">
        <v>273</v>
      </c>
      <c r="H289" s="2" t="s">
        <v>13</v>
      </c>
      <c r="I289" s="3">
        <v>45776</v>
      </c>
      <c r="J289" s="2">
        <v>11140.97</v>
      </c>
      <c r="K289" s="2">
        <v>11140.97</v>
      </c>
      <c r="L289" s="2">
        <v>203</v>
      </c>
      <c r="M289" s="2"/>
      <c r="N289" s="2"/>
    </row>
    <row r="290" spans="1:14">
      <c r="A290" s="2">
        <v>6</v>
      </c>
      <c r="B290" s="2">
        <f t="shared" si="4"/>
        <v>19618</v>
      </c>
      <c r="C290" s="2" t="s">
        <v>230</v>
      </c>
      <c r="D290" s="2" t="s">
        <v>380</v>
      </c>
      <c r="E290" s="2" t="s">
        <v>506</v>
      </c>
      <c r="F290" s="4">
        <v>196181998093</v>
      </c>
      <c r="G290" s="2" t="s">
        <v>228</v>
      </c>
      <c r="H290" s="2" t="s">
        <v>13</v>
      </c>
      <c r="I290" s="3">
        <v>45776</v>
      </c>
      <c r="J290" s="2">
        <v>18924.52</v>
      </c>
      <c r="K290" s="2">
        <v>18924.52</v>
      </c>
      <c r="L290" s="2">
        <v>203</v>
      </c>
      <c r="M290" s="2"/>
      <c r="N290" s="2"/>
    </row>
    <row r="291" spans="1:14">
      <c r="A291" s="2">
        <v>6</v>
      </c>
      <c r="B291" s="2">
        <f t="shared" si="4"/>
        <v>19538</v>
      </c>
      <c r="C291" s="2" t="s">
        <v>230</v>
      </c>
      <c r="D291" s="2" t="s">
        <v>477</v>
      </c>
      <c r="E291" s="2" t="s">
        <v>530</v>
      </c>
      <c r="F291" s="4">
        <v>195380057978</v>
      </c>
      <c r="G291" s="2" t="s">
        <v>299</v>
      </c>
      <c r="H291" s="2" t="s">
        <v>13</v>
      </c>
      <c r="I291" s="3">
        <v>45776</v>
      </c>
      <c r="J291" s="2">
        <v>30099.87</v>
      </c>
      <c r="K291" s="2">
        <v>30099.87</v>
      </c>
      <c r="L291" s="2">
        <v>203</v>
      </c>
      <c r="M291" s="2"/>
      <c r="N291" s="2"/>
    </row>
    <row r="292" spans="1:14">
      <c r="A292" s="2">
        <v>6</v>
      </c>
      <c r="B292" s="2">
        <f t="shared" si="4"/>
        <v>19538</v>
      </c>
      <c r="C292" s="2" t="s">
        <v>230</v>
      </c>
      <c r="D292" s="2" t="s">
        <v>477</v>
      </c>
      <c r="E292" s="2" t="s">
        <v>530</v>
      </c>
      <c r="F292" s="4">
        <v>195380000984</v>
      </c>
      <c r="G292" s="2" t="s">
        <v>300</v>
      </c>
      <c r="H292" s="2" t="s">
        <v>12</v>
      </c>
      <c r="I292" s="3">
        <v>45892</v>
      </c>
      <c r="J292" s="2">
        <v>8654.0400000000009</v>
      </c>
      <c r="K292" s="2">
        <v>8654.0400000000009</v>
      </c>
      <c r="L292" s="2">
        <v>87</v>
      </c>
      <c r="M292" s="2"/>
      <c r="N292" s="2"/>
    </row>
    <row r="293" spans="1:14">
      <c r="A293" s="2">
        <v>6</v>
      </c>
      <c r="B293" s="2">
        <f t="shared" si="4"/>
        <v>19605</v>
      </c>
      <c r="C293" s="2" t="s">
        <v>230</v>
      </c>
      <c r="D293" s="2" t="s">
        <v>478</v>
      </c>
      <c r="E293" s="2" t="s">
        <v>518</v>
      </c>
      <c r="F293" s="4">
        <v>196051999403</v>
      </c>
      <c r="G293" s="2" t="s">
        <v>301</v>
      </c>
      <c r="H293" s="2" t="s">
        <v>12</v>
      </c>
      <c r="I293" s="3">
        <v>45888</v>
      </c>
      <c r="J293" s="2">
        <v>11646.72</v>
      </c>
      <c r="K293" s="2">
        <v>11646.72</v>
      </c>
      <c r="L293" s="2">
        <v>91</v>
      </c>
      <c r="M293" s="2"/>
      <c r="N293" s="2"/>
    </row>
    <row r="294" spans="1:14">
      <c r="A294" s="2">
        <v>6</v>
      </c>
      <c r="B294" s="2">
        <f t="shared" si="4"/>
        <v>19600</v>
      </c>
      <c r="C294" s="2" t="s">
        <v>230</v>
      </c>
      <c r="D294" s="2" t="s">
        <v>479</v>
      </c>
      <c r="E294" s="2" t="s">
        <v>518</v>
      </c>
      <c r="F294" s="4">
        <v>196000097057</v>
      </c>
      <c r="G294" s="2" t="s">
        <v>302</v>
      </c>
      <c r="H294" s="2" t="s">
        <v>12</v>
      </c>
      <c r="I294" s="3">
        <v>45912</v>
      </c>
      <c r="J294" s="2">
        <v>5004.78</v>
      </c>
      <c r="K294" s="2">
        <v>5004.78</v>
      </c>
      <c r="L294" s="2">
        <v>67</v>
      </c>
      <c r="M294" s="2"/>
      <c r="N294" s="2"/>
    </row>
    <row r="295" spans="1:14">
      <c r="A295" s="2">
        <v>6</v>
      </c>
      <c r="B295" s="2">
        <f t="shared" si="4"/>
        <v>19600</v>
      </c>
      <c r="C295" s="2" t="s">
        <v>230</v>
      </c>
      <c r="D295" s="2" t="s">
        <v>479</v>
      </c>
      <c r="E295" s="2" t="s">
        <v>518</v>
      </c>
      <c r="F295" s="4">
        <v>196001982305</v>
      </c>
      <c r="G295" s="2" t="s">
        <v>303</v>
      </c>
      <c r="H295" s="2" t="s">
        <v>13</v>
      </c>
      <c r="I295" s="3">
        <v>45776</v>
      </c>
      <c r="J295" s="2">
        <v>13451.55</v>
      </c>
      <c r="K295" s="2">
        <v>13451.55</v>
      </c>
      <c r="L295" s="2">
        <v>203</v>
      </c>
      <c r="M295" s="2"/>
      <c r="N295" s="2"/>
    </row>
    <row r="296" spans="1:14">
      <c r="A296" s="2">
        <v>6</v>
      </c>
      <c r="B296" s="2">
        <f t="shared" si="4"/>
        <v>19602</v>
      </c>
      <c r="C296" s="2" t="s">
        <v>230</v>
      </c>
      <c r="D296" s="2" t="s">
        <v>480</v>
      </c>
      <c r="E296" s="2" t="s">
        <v>518</v>
      </c>
      <c r="F296" s="4">
        <v>196021997848</v>
      </c>
      <c r="G296" s="2" t="s">
        <v>304</v>
      </c>
      <c r="H296" s="2" t="s">
        <v>13</v>
      </c>
      <c r="I296" s="3">
        <v>45776</v>
      </c>
      <c r="J296" s="2">
        <v>10265.219999999999</v>
      </c>
      <c r="K296" s="2">
        <v>10265.219999999999</v>
      </c>
      <c r="L296" s="2">
        <v>203</v>
      </c>
      <c r="M296" s="2"/>
      <c r="N296" s="2"/>
    </row>
    <row r="297" spans="1:14">
      <c r="A297" s="2">
        <v>6</v>
      </c>
      <c r="B297" s="2">
        <f t="shared" si="4"/>
        <v>19620</v>
      </c>
      <c r="C297" s="2" t="s">
        <v>230</v>
      </c>
      <c r="D297" s="2" t="s">
        <v>481</v>
      </c>
      <c r="E297" s="2" t="s">
        <v>506</v>
      </c>
      <c r="F297" s="4">
        <v>196200104082</v>
      </c>
      <c r="G297" s="2" t="s">
        <v>305</v>
      </c>
      <c r="H297" s="2" t="s">
        <v>13</v>
      </c>
      <c r="I297" s="3">
        <v>45776</v>
      </c>
      <c r="J297" s="2">
        <v>10520.04</v>
      </c>
      <c r="K297" s="2">
        <v>10520.04</v>
      </c>
      <c r="L297" s="2">
        <v>203</v>
      </c>
      <c r="M297" s="2"/>
      <c r="N297" s="2"/>
    </row>
    <row r="298" spans="1:14">
      <c r="A298" s="2">
        <v>6</v>
      </c>
      <c r="B298" s="2">
        <f t="shared" si="4"/>
        <v>19656</v>
      </c>
      <c r="C298" s="2" t="s">
        <v>230</v>
      </c>
      <c r="D298" s="2" t="s">
        <v>443</v>
      </c>
      <c r="E298" s="2" t="s">
        <v>528</v>
      </c>
      <c r="F298" s="4">
        <v>196560001161</v>
      </c>
      <c r="G298" s="2" t="s">
        <v>306</v>
      </c>
      <c r="H298" s="2" t="s">
        <v>13</v>
      </c>
      <c r="I298" s="3">
        <v>45776</v>
      </c>
      <c r="J298" s="2">
        <v>16378.58</v>
      </c>
      <c r="K298" s="2">
        <v>16378.58</v>
      </c>
      <c r="L298" s="2">
        <v>203</v>
      </c>
      <c r="M298" s="2"/>
      <c r="N298" s="2"/>
    </row>
    <row r="299" spans="1:14">
      <c r="A299" s="2">
        <v>6</v>
      </c>
      <c r="B299" s="2">
        <f t="shared" si="4"/>
        <v>21348</v>
      </c>
      <c r="C299" s="2" t="s">
        <v>230</v>
      </c>
      <c r="D299" s="2" t="s">
        <v>482</v>
      </c>
      <c r="E299" s="2" t="s">
        <v>518</v>
      </c>
      <c r="F299" s="4">
        <v>213480000611</v>
      </c>
      <c r="G299" s="2" t="s">
        <v>307</v>
      </c>
      <c r="H299" s="2" t="s">
        <v>12</v>
      </c>
      <c r="I299" s="3">
        <v>45850</v>
      </c>
      <c r="J299" s="2">
        <v>10492.41</v>
      </c>
      <c r="K299" s="2">
        <v>10492.41</v>
      </c>
      <c r="L299" s="2">
        <v>129</v>
      </c>
      <c r="M299" s="2"/>
      <c r="N299" s="2"/>
    </row>
    <row r="300" spans="1:14">
      <c r="A300" s="2">
        <v>6</v>
      </c>
      <c r="B300" s="2">
        <f t="shared" si="4"/>
        <v>19673</v>
      </c>
      <c r="C300" s="2" t="s">
        <v>230</v>
      </c>
      <c r="D300" s="2" t="s">
        <v>458</v>
      </c>
      <c r="E300" s="2" t="s">
        <v>528</v>
      </c>
      <c r="F300" s="4">
        <v>196730118912</v>
      </c>
      <c r="G300" s="2" t="s">
        <v>308</v>
      </c>
      <c r="H300" s="2" t="s">
        <v>12</v>
      </c>
      <c r="I300" s="3">
        <v>45743</v>
      </c>
      <c r="J300" s="2">
        <v>5589.2</v>
      </c>
      <c r="K300" s="2">
        <v>5589.2</v>
      </c>
      <c r="L300" s="2">
        <v>236</v>
      </c>
      <c r="M300" s="2"/>
      <c r="N300" s="2"/>
    </row>
    <row r="301" spans="1:14">
      <c r="A301" s="2">
        <v>6</v>
      </c>
      <c r="B301" s="2">
        <f t="shared" si="4"/>
        <v>19673</v>
      </c>
      <c r="C301" s="2" t="s">
        <v>230</v>
      </c>
      <c r="D301" s="2" t="s">
        <v>458</v>
      </c>
      <c r="E301" s="2" t="s">
        <v>528</v>
      </c>
      <c r="F301" s="4">
        <v>196730000016</v>
      </c>
      <c r="G301" s="2" t="s">
        <v>309</v>
      </c>
      <c r="H301" s="2" t="s">
        <v>13</v>
      </c>
      <c r="I301" s="3">
        <v>45355</v>
      </c>
      <c r="J301" s="2">
        <v>15053.9</v>
      </c>
      <c r="K301" s="2">
        <v>15053.9</v>
      </c>
      <c r="L301" s="2">
        <v>624</v>
      </c>
      <c r="M301" s="3">
        <v>45916</v>
      </c>
      <c r="N301" s="2"/>
    </row>
    <row r="302" spans="1:14">
      <c r="A302" s="2">
        <v>6</v>
      </c>
      <c r="B302" s="2">
        <f t="shared" si="4"/>
        <v>19673</v>
      </c>
      <c r="C302" s="2" t="s">
        <v>230</v>
      </c>
      <c r="D302" s="2" t="s">
        <v>458</v>
      </c>
      <c r="E302" s="2" t="s">
        <v>528</v>
      </c>
      <c r="F302" s="4">
        <v>196731997898</v>
      </c>
      <c r="G302" s="2" t="s">
        <v>304</v>
      </c>
      <c r="H302" s="2" t="s">
        <v>13</v>
      </c>
      <c r="I302" s="3">
        <v>45776</v>
      </c>
      <c r="J302" s="2">
        <v>9203.15</v>
      </c>
      <c r="K302" s="2">
        <v>9203.15</v>
      </c>
      <c r="L302" s="2">
        <v>203</v>
      </c>
      <c r="M302" s="2"/>
      <c r="N302" s="2"/>
    </row>
    <row r="303" spans="1:14">
      <c r="A303" s="2">
        <v>6</v>
      </c>
      <c r="B303" s="2">
        <f t="shared" si="4"/>
        <v>19641</v>
      </c>
      <c r="C303" s="2" t="s">
        <v>230</v>
      </c>
      <c r="D303" s="2" t="s">
        <v>483</v>
      </c>
      <c r="E303" s="2" t="s">
        <v>518</v>
      </c>
      <c r="F303" s="4">
        <v>196411997342</v>
      </c>
      <c r="G303" s="2" t="s">
        <v>310</v>
      </c>
      <c r="H303" s="2" t="s">
        <v>13</v>
      </c>
      <c r="I303" s="3">
        <v>45776</v>
      </c>
      <c r="J303" s="2">
        <v>10215.98</v>
      </c>
      <c r="K303" s="2">
        <v>10215.98</v>
      </c>
      <c r="L303" s="2">
        <v>203</v>
      </c>
      <c r="M303" s="2"/>
      <c r="N303" s="2"/>
    </row>
    <row r="304" spans="1:14">
      <c r="A304" s="2">
        <v>6</v>
      </c>
      <c r="B304" s="2">
        <f t="shared" si="4"/>
        <v>19639</v>
      </c>
      <c r="C304" s="2" t="s">
        <v>230</v>
      </c>
      <c r="D304" s="2" t="s">
        <v>484</v>
      </c>
      <c r="E304" s="2" t="s">
        <v>518</v>
      </c>
      <c r="F304" s="4">
        <v>196391997367</v>
      </c>
      <c r="G304" s="2" t="s">
        <v>311</v>
      </c>
      <c r="H304" s="2" t="s">
        <v>13</v>
      </c>
      <c r="I304" s="3">
        <v>45776</v>
      </c>
      <c r="J304" s="2">
        <v>8292.24</v>
      </c>
      <c r="K304" s="2">
        <v>8292.24</v>
      </c>
      <c r="L304" s="2">
        <v>203</v>
      </c>
      <c r="M304" s="2"/>
      <c r="N304" s="2"/>
    </row>
    <row r="305" spans="1:14">
      <c r="A305" s="2">
        <v>6</v>
      </c>
      <c r="B305" s="2">
        <f t="shared" si="4"/>
        <v>19641</v>
      </c>
      <c r="C305" s="2" t="s">
        <v>230</v>
      </c>
      <c r="D305" s="2" t="s">
        <v>483</v>
      </c>
      <c r="E305" s="2" t="s">
        <v>518</v>
      </c>
      <c r="F305" s="4">
        <v>196410000654</v>
      </c>
      <c r="G305" s="2" t="s">
        <v>312</v>
      </c>
      <c r="H305" s="2" t="s">
        <v>12</v>
      </c>
      <c r="I305" s="3">
        <v>45840</v>
      </c>
      <c r="J305" s="2">
        <v>5383.38</v>
      </c>
      <c r="K305" s="2">
        <v>5383.38</v>
      </c>
      <c r="L305" s="2">
        <v>139</v>
      </c>
      <c r="M305" s="2"/>
      <c r="N305" s="2"/>
    </row>
    <row r="306" spans="1:14">
      <c r="A306" s="2">
        <v>6</v>
      </c>
      <c r="B306" s="2">
        <f t="shared" si="4"/>
        <v>19640</v>
      </c>
      <c r="C306" s="2" t="s">
        <v>230</v>
      </c>
      <c r="D306" s="2" t="s">
        <v>485</v>
      </c>
      <c r="E306" s="2" t="s">
        <v>518</v>
      </c>
      <c r="F306" s="4">
        <v>196401997352</v>
      </c>
      <c r="G306" s="2" t="s">
        <v>313</v>
      </c>
      <c r="H306" s="2" t="s">
        <v>13</v>
      </c>
      <c r="I306" s="3">
        <v>45776</v>
      </c>
      <c r="J306" s="2">
        <v>10244.83</v>
      </c>
      <c r="K306" s="2">
        <v>10244.83</v>
      </c>
      <c r="L306" s="2">
        <v>203</v>
      </c>
      <c r="M306" s="2"/>
      <c r="N306" s="2"/>
    </row>
    <row r="307" spans="1:14">
      <c r="A307" s="2">
        <v>6</v>
      </c>
      <c r="B307" s="2">
        <f t="shared" si="4"/>
        <v>19672</v>
      </c>
      <c r="C307" s="2" t="s">
        <v>230</v>
      </c>
      <c r="D307" s="2" t="s">
        <v>486</v>
      </c>
      <c r="E307" s="2" t="s">
        <v>528</v>
      </c>
      <c r="F307" s="4">
        <v>196721994858</v>
      </c>
      <c r="G307" s="2" t="s">
        <v>314</v>
      </c>
      <c r="H307" s="2" t="s">
        <v>12</v>
      </c>
      <c r="I307" s="3">
        <v>45323</v>
      </c>
      <c r="J307" s="2">
        <v>7048.09</v>
      </c>
      <c r="K307" s="2">
        <v>7048.09</v>
      </c>
      <c r="L307" s="2">
        <v>656</v>
      </c>
      <c r="M307" s="2"/>
      <c r="N307" s="2"/>
    </row>
    <row r="308" spans="1:14">
      <c r="A308" s="2">
        <v>6</v>
      </c>
      <c r="B308" s="2">
        <f t="shared" si="4"/>
        <v>19672</v>
      </c>
      <c r="C308" s="2" t="s">
        <v>230</v>
      </c>
      <c r="D308" s="2" t="s">
        <v>486</v>
      </c>
      <c r="E308" s="2" t="s">
        <v>528</v>
      </c>
      <c r="F308" s="4">
        <v>196721997865</v>
      </c>
      <c r="G308" s="2" t="s">
        <v>315</v>
      </c>
      <c r="H308" s="2" t="s">
        <v>13</v>
      </c>
      <c r="I308" s="3">
        <v>45776</v>
      </c>
      <c r="J308" s="2">
        <v>9222.39</v>
      </c>
      <c r="K308" s="2">
        <v>9222.39</v>
      </c>
      <c r="L308" s="2">
        <v>203</v>
      </c>
      <c r="M308" s="2"/>
      <c r="N308" s="2"/>
    </row>
    <row r="309" spans="1:14">
      <c r="A309" s="2">
        <v>6</v>
      </c>
      <c r="B309" s="2">
        <f t="shared" si="4"/>
        <v>19510</v>
      </c>
      <c r="C309" s="2" t="s">
        <v>230</v>
      </c>
      <c r="D309" s="2" t="s">
        <v>452</v>
      </c>
      <c r="E309" s="2" t="s">
        <v>531</v>
      </c>
      <c r="F309" s="4">
        <v>195101987693</v>
      </c>
      <c r="G309" s="2" t="s">
        <v>316</v>
      </c>
      <c r="H309" s="2" t="s">
        <v>12</v>
      </c>
      <c r="I309" s="3">
        <v>45658</v>
      </c>
      <c r="J309" s="2">
        <v>7962.77</v>
      </c>
      <c r="K309" s="2">
        <v>7962.77</v>
      </c>
      <c r="L309" s="2">
        <v>321</v>
      </c>
      <c r="M309" s="3">
        <v>45740</v>
      </c>
      <c r="N309" s="2"/>
    </row>
    <row r="310" spans="1:14">
      <c r="A310" s="2">
        <v>6</v>
      </c>
      <c r="B310" s="2">
        <f t="shared" si="4"/>
        <v>19537</v>
      </c>
      <c r="C310" s="2" t="s">
        <v>230</v>
      </c>
      <c r="D310" s="2" t="s">
        <v>475</v>
      </c>
      <c r="E310" s="2" t="s">
        <v>530</v>
      </c>
      <c r="F310" s="4">
        <v>195370001273</v>
      </c>
      <c r="G310" s="2" t="s">
        <v>317</v>
      </c>
      <c r="H310" s="2" t="s">
        <v>12</v>
      </c>
      <c r="I310" s="3">
        <v>45939</v>
      </c>
      <c r="J310" s="2">
        <v>6534.86</v>
      </c>
      <c r="K310" s="2">
        <v>6534.86</v>
      </c>
      <c r="L310" s="2">
        <v>40</v>
      </c>
      <c r="M310" s="2"/>
      <c r="N310" s="2"/>
    </row>
    <row r="311" spans="1:14">
      <c r="A311" s="2">
        <v>6</v>
      </c>
      <c r="B311" s="2">
        <f t="shared" si="4"/>
        <v>19617</v>
      </c>
      <c r="C311" s="2" t="s">
        <v>230</v>
      </c>
      <c r="D311" s="2" t="s">
        <v>487</v>
      </c>
      <c r="E311" s="2" t="s">
        <v>506</v>
      </c>
      <c r="F311" s="4">
        <v>196170000741</v>
      </c>
      <c r="G311" s="2" t="s">
        <v>318</v>
      </c>
      <c r="H311" s="2" t="s">
        <v>12</v>
      </c>
      <c r="I311" s="3">
        <v>45883</v>
      </c>
      <c r="J311" s="2">
        <v>7486.23</v>
      </c>
      <c r="K311" s="2">
        <v>7486.23</v>
      </c>
      <c r="L311" s="2">
        <v>96</v>
      </c>
      <c r="M311" s="2"/>
      <c r="N311" s="2"/>
    </row>
    <row r="312" spans="1:14">
      <c r="A312" s="2">
        <v>6</v>
      </c>
      <c r="B312" s="2">
        <f t="shared" si="4"/>
        <v>19617</v>
      </c>
      <c r="C312" s="2" t="s">
        <v>230</v>
      </c>
      <c r="D312" s="2" t="s">
        <v>487</v>
      </c>
      <c r="E312" s="2" t="s">
        <v>506</v>
      </c>
      <c r="F312" s="4">
        <v>196170001402</v>
      </c>
      <c r="G312" s="2" t="s">
        <v>292</v>
      </c>
      <c r="H312" s="2" t="s">
        <v>13</v>
      </c>
      <c r="I312" s="3">
        <v>45776</v>
      </c>
      <c r="J312" s="2">
        <v>9273.16</v>
      </c>
      <c r="K312" s="2">
        <v>9273.16</v>
      </c>
      <c r="L312" s="2">
        <v>203</v>
      </c>
      <c r="M312" s="2"/>
      <c r="N312" s="2"/>
    </row>
    <row r="313" spans="1:14">
      <c r="A313" s="2">
        <v>6</v>
      </c>
      <c r="B313" s="2">
        <f t="shared" si="4"/>
        <v>19619</v>
      </c>
      <c r="C313" s="2" t="s">
        <v>230</v>
      </c>
      <c r="D313" s="2" t="s">
        <v>465</v>
      </c>
      <c r="E313" s="2" t="s">
        <v>533</v>
      </c>
      <c r="F313" s="4">
        <v>196190001352</v>
      </c>
      <c r="G313" s="2" t="s">
        <v>319</v>
      </c>
      <c r="H313" s="2" t="s">
        <v>13</v>
      </c>
      <c r="I313" s="3">
        <v>45776</v>
      </c>
      <c r="J313" s="2">
        <v>8741.9500000000007</v>
      </c>
      <c r="K313" s="2">
        <v>9191.9500000000007</v>
      </c>
      <c r="L313" s="2">
        <v>203</v>
      </c>
      <c r="M313" s="2"/>
      <c r="N313" s="2"/>
    </row>
    <row r="314" spans="1:14">
      <c r="A314" s="2">
        <v>6</v>
      </c>
      <c r="B314" s="2">
        <f t="shared" si="4"/>
        <v>19664</v>
      </c>
      <c r="C314" s="2" t="s">
        <v>230</v>
      </c>
      <c r="D314" s="2" t="s">
        <v>488</v>
      </c>
      <c r="E314" s="2" t="s">
        <v>528</v>
      </c>
      <c r="F314" s="4">
        <v>196640001129</v>
      </c>
      <c r="G314" s="2" t="s">
        <v>320</v>
      </c>
      <c r="H314" s="2" t="s">
        <v>13</v>
      </c>
      <c r="I314" s="3">
        <v>45776</v>
      </c>
      <c r="J314" s="2">
        <v>17143.490000000002</v>
      </c>
      <c r="K314" s="2">
        <v>17143.490000000002</v>
      </c>
      <c r="L314" s="2">
        <v>203</v>
      </c>
      <c r="M314" s="2"/>
      <c r="N314" s="2"/>
    </row>
    <row r="315" spans="1:14">
      <c r="A315" s="2">
        <v>6</v>
      </c>
      <c r="B315" s="2">
        <f t="shared" si="4"/>
        <v>19565</v>
      </c>
      <c r="C315" s="2" t="s">
        <v>230</v>
      </c>
      <c r="D315" s="2" t="s">
        <v>450</v>
      </c>
      <c r="E315" s="2" t="s">
        <v>531</v>
      </c>
      <c r="F315" s="4">
        <v>195650000019</v>
      </c>
      <c r="G315" s="2" t="s">
        <v>321</v>
      </c>
      <c r="H315" s="2" t="s">
        <v>12</v>
      </c>
      <c r="I315" s="3">
        <v>45554</v>
      </c>
      <c r="J315" s="2">
        <v>6080.59</v>
      </c>
      <c r="K315" s="2">
        <v>6080.59</v>
      </c>
      <c r="L315" s="2">
        <v>425</v>
      </c>
      <c r="M315" s="3">
        <v>45740</v>
      </c>
      <c r="N315" s="2"/>
    </row>
    <row r="316" spans="1:14">
      <c r="A316" s="2">
        <v>6</v>
      </c>
      <c r="B316" s="2">
        <f t="shared" si="4"/>
        <v>19565</v>
      </c>
      <c r="C316" s="2" t="s">
        <v>230</v>
      </c>
      <c r="D316" s="2" t="s">
        <v>450</v>
      </c>
      <c r="E316" s="2" t="s">
        <v>531</v>
      </c>
      <c r="F316" s="4">
        <v>195650000027</v>
      </c>
      <c r="G316" s="2" t="s">
        <v>322</v>
      </c>
      <c r="H316" s="2" t="s">
        <v>12</v>
      </c>
      <c r="I316" s="3">
        <v>45891</v>
      </c>
      <c r="J316" s="2">
        <v>27806.83</v>
      </c>
      <c r="K316" s="2">
        <v>27806.83</v>
      </c>
      <c r="L316" s="2">
        <v>88</v>
      </c>
      <c r="M316" s="2"/>
      <c r="N316" s="2"/>
    </row>
    <row r="317" spans="1:14">
      <c r="A317" s="2">
        <v>6</v>
      </c>
      <c r="B317" s="2">
        <f t="shared" si="4"/>
        <v>19670</v>
      </c>
      <c r="C317" s="2" t="s">
        <v>230</v>
      </c>
      <c r="D317" s="2" t="s">
        <v>489</v>
      </c>
      <c r="E317" s="2" t="s">
        <v>529</v>
      </c>
      <c r="F317" s="4">
        <v>196700000623</v>
      </c>
      <c r="G317" s="2" t="s">
        <v>323</v>
      </c>
      <c r="H317" s="2" t="s">
        <v>12</v>
      </c>
      <c r="I317" s="3">
        <v>45336</v>
      </c>
      <c r="J317" s="2">
        <v>48008.86</v>
      </c>
      <c r="K317" s="2">
        <v>48008.86</v>
      </c>
      <c r="L317" s="2">
        <v>643</v>
      </c>
      <c r="M317" s="3">
        <v>45892</v>
      </c>
      <c r="N317" s="2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Section Abst</vt:lpstr>
      <vt:lpstr>LIST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PRASAD</dc:creator>
  <cp:lastModifiedBy>Lenovo</cp:lastModifiedBy>
  <dcterms:created xsi:type="dcterms:W3CDTF">2025-11-19T09:52:35Z</dcterms:created>
  <dcterms:modified xsi:type="dcterms:W3CDTF">2025-11-19T16:12:38Z</dcterms:modified>
</cp:coreProperties>
</file>